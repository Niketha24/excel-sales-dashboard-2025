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ee5420105cc37a6b/Desktop/data analytices/"/>
    </mc:Choice>
  </mc:AlternateContent>
  <xr:revisionPtr revIDLastSave="10" documentId="8_{B08BE0C3-107E-4B29-A46E-F8D729BEB776}" xr6:coauthVersionLast="47" xr6:coauthVersionMax="47" xr10:uidLastSave="{D8686CA4-BED4-420F-967F-A9B84EDE6A6A}"/>
  <bookViews>
    <workbookView xWindow="-90" yWindow="0" windowWidth="9780" windowHeight="10170" activeTab="2" xr2:uid="{00000000-000D-0000-FFFF-FFFF00000000}"/>
  </bookViews>
  <sheets>
    <sheet name="working data" sheetId="3" r:id="rId1"/>
    <sheet name="summary" sheetId="4" r:id="rId2"/>
    <sheet name="DASHBORD" sheetId="5" r:id="rId3"/>
    <sheet name="insights" sheetId="6" r:id="rId4"/>
    <sheet name="Sales Data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H4" i="5"/>
  <c r="F4" i="5"/>
  <c r="D4" i="5"/>
  <c r="B28" i="4"/>
  <c r="B29" i="4"/>
  <c r="B30" i="4"/>
  <c r="B31" i="4"/>
  <c r="B32" i="4"/>
  <c r="B33" i="4"/>
  <c r="B34" i="4"/>
  <c r="B35" i="4"/>
  <c r="B36" i="4"/>
  <c r="B37" i="4"/>
  <c r="B38" i="4"/>
  <c r="B27" i="4"/>
  <c r="B39" i="4" s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" i="3"/>
  <c r="B16" i="4"/>
  <c r="B23" i="4" s="1"/>
  <c r="B17" i="4"/>
  <c r="B18" i="4"/>
  <c r="B19" i="4"/>
  <c r="B20" i="4"/>
  <c r="B21" i="4"/>
  <c r="B22" i="4"/>
  <c r="B15" i="4"/>
  <c r="B7" i="4"/>
  <c r="B8" i="4"/>
  <c r="B9" i="4"/>
  <c r="B10" i="4"/>
  <c r="B6" i="4"/>
  <c r="F2" i="4"/>
  <c r="E2" i="4"/>
  <c r="C2" i="4"/>
  <c r="B2" i="4"/>
  <c r="D2" i="4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" i="3"/>
  <c r="B11" i="4" l="1"/>
</calcChain>
</file>

<file path=xl/sharedStrings.xml><?xml version="1.0" encoding="utf-8"?>
<sst xmlns="http://schemas.openxmlformats.org/spreadsheetml/2006/main" count="1273" uniqueCount="68">
  <si>
    <t>Order ID</t>
  </si>
  <si>
    <t>Date</t>
  </si>
  <si>
    <t>Region</t>
  </si>
  <si>
    <t>Product</t>
  </si>
  <si>
    <t>Category</t>
  </si>
  <si>
    <t>Quantity</t>
  </si>
  <si>
    <t>Unit Price</t>
  </si>
  <si>
    <t>North</t>
  </si>
  <si>
    <t>Notebook Pack</t>
  </si>
  <si>
    <t>Stationery</t>
  </si>
  <si>
    <t>West</t>
  </si>
  <si>
    <t>Mobile</t>
  </si>
  <si>
    <t>Electronics</t>
  </si>
  <si>
    <t>Headphones</t>
  </si>
  <si>
    <t>East</t>
  </si>
  <si>
    <t>Study Table</t>
  </si>
  <si>
    <t>Furniture</t>
  </si>
  <si>
    <t>Backpack</t>
  </si>
  <si>
    <t>Accessories</t>
  </si>
  <si>
    <t>Office Chair</t>
  </si>
  <si>
    <t>Laptop</t>
  </si>
  <si>
    <t>Pen Box</t>
  </si>
  <si>
    <t>South</t>
  </si>
  <si>
    <t>Total sales</t>
  </si>
  <si>
    <t>unknown</t>
  </si>
  <si>
    <t>key number</t>
  </si>
  <si>
    <t xml:space="preserve">total sales </t>
  </si>
  <si>
    <t xml:space="preserve">number of orders </t>
  </si>
  <si>
    <t>average order value</t>
  </si>
  <si>
    <t>biggest sale</t>
  </si>
  <si>
    <t>smallest sales</t>
  </si>
  <si>
    <t>REGION</t>
  </si>
  <si>
    <t>TOTAL SALES</t>
  </si>
  <si>
    <t>TOTAL</t>
  </si>
  <si>
    <t>pen box</t>
  </si>
  <si>
    <t>backpack</t>
  </si>
  <si>
    <t>mobile</t>
  </si>
  <si>
    <t>north</t>
  </si>
  <si>
    <t>south</t>
  </si>
  <si>
    <t>east</t>
  </si>
  <si>
    <t>west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</si>
  <si>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</si>
  <si>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</si>
  <si>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</si>
  <si>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</si>
  <si>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</si>
  <si>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</si>
  <si>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</si>
  <si>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</si>
  <si>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</si>
  <si>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</si>
  <si>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</si>
  <si>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</si>
  <si>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</si>
  <si>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PRODUCT</t>
  </si>
  <si>
    <t>MONTH</t>
  </si>
  <si>
    <t xml:space="preserve">TOTAL SALES </t>
  </si>
  <si>
    <t>SALES DASHBOARD 2025</t>
  </si>
  <si>
    <t>BIGGEST SALES</t>
  </si>
  <si>
    <t>AVG ORDER VALUE</t>
  </si>
  <si>
    <t>KEY INSIGHTS</t>
  </si>
  <si>
    <t>Laptops bring in 43% of total sales (2,160,000), making them the top product by far</t>
  </si>
  <si>
    <t>North is the best region (27% of sales), but West is almost equal, and East is the lowest main region at 20%</t>
  </si>
  <si>
    <t>September is the best month (641,190) and March is the weakest (231,500).</t>
  </si>
  <si>
    <t>Sales dropped towards the end of the year, from October to December.</t>
  </si>
  <si>
    <t>One order has an unknown region, so region records should be filled in more carefully.</t>
  </si>
  <si>
    <t>Recommendation: Run a sales campaign in East and in the weak months (March, November and December)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</si>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</sst>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4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5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5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7" fillId="0" borderId="0" xfId="0" applyFont="1"/>
    <xf numFmtId="0" fontId="3" fillId="12" borderId="0" xfId="0" applyFont="1" applyFill="1"/>
    <xf numFmtId="0" fontId="8" fillId="0" borderId="0" xfId="0" applyFont="1"/>
    <xf numFmtId="0" fontId="7" fillId="13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5062955982961145"/>
          <c:y val="3.83999999999999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3993297069516"/>
          <c:y val="3.1652749530574592E-2"/>
          <c:w val="0.84929793231113559"/>
          <c:h val="0.892384706129258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summary!$A$6:$A$10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unknown</c:v>
                </c:pt>
              </c:strCache>
            </c:strRef>
          </c:cat>
          <c:val>
            <c:numRef>
              <c:f>summary!$B$6:$B$10</c:f>
              <c:numCache>
                <c:formatCode>General</c:formatCode>
                <c:ptCount val="5"/>
                <c:pt idx="0">
                  <c:v>1362280</c:v>
                </c:pt>
                <c:pt idx="1">
                  <c:v>1247230</c:v>
                </c:pt>
                <c:pt idx="2">
                  <c:v>1009770</c:v>
                </c:pt>
                <c:pt idx="3">
                  <c:v>1355110</c:v>
                </c:pt>
                <c:pt idx="4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3-415C-81A2-DAA9BC3BE8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4727695"/>
        <c:axId val="474728175"/>
      </c:barChart>
      <c:catAx>
        <c:axId val="474727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728175"/>
        <c:crosses val="autoZero"/>
        <c:auto val="1"/>
        <c:lblAlgn val="ctr"/>
        <c:lblOffset val="100"/>
        <c:noMultiLvlLbl val="0"/>
      </c:catAx>
      <c:valAx>
        <c:axId val="4747281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72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4857144718701"/>
          <c:y val="0.22935101157453777"/>
          <c:w val="0.75045040544881514"/>
          <c:h val="0.644845563964779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summary!$B$14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summary!$A$15:$A$22</c:f>
              <c:strCache>
                <c:ptCount val="8"/>
                <c:pt idx="0">
                  <c:v>Laptop</c:v>
                </c:pt>
                <c:pt idx="1">
                  <c:v>mobile</c:v>
                </c:pt>
                <c:pt idx="2">
                  <c:v>Headphones</c:v>
                </c:pt>
                <c:pt idx="3">
                  <c:v>Office Chair</c:v>
                </c:pt>
                <c:pt idx="4">
                  <c:v>Study Table</c:v>
                </c:pt>
                <c:pt idx="5">
                  <c:v>Notebook Pack</c:v>
                </c:pt>
                <c:pt idx="6">
                  <c:v>pen box</c:v>
                </c:pt>
                <c:pt idx="7">
                  <c:v>backpack</c:v>
                </c:pt>
              </c:strCache>
            </c:strRef>
          </c:cat>
          <c:val>
            <c:numRef>
              <c:f>summary!$B$15:$B$22</c:f>
              <c:numCache>
                <c:formatCode>General</c:formatCode>
                <c:ptCount val="8"/>
                <c:pt idx="0">
                  <c:v>2160000</c:v>
                </c:pt>
                <c:pt idx="1">
                  <c:v>684000</c:v>
                </c:pt>
                <c:pt idx="2">
                  <c:v>294000</c:v>
                </c:pt>
                <c:pt idx="3">
                  <c:v>806000</c:v>
                </c:pt>
                <c:pt idx="4">
                  <c:v>774800</c:v>
                </c:pt>
                <c:pt idx="5">
                  <c:v>31250</c:v>
                </c:pt>
                <c:pt idx="6">
                  <c:v>12840</c:v>
                </c:pt>
                <c:pt idx="7">
                  <c:v>256500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9-4599-865C-0F2076697A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2251759"/>
        <c:axId val="47224935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summary!$C$14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summary!$A$15:$A$22</c15:sqref>
                        </c15:formulaRef>
                      </c:ext>
                    </c:extLst>
                    <c:strCache>
                      <c:ptCount val="8"/>
                      <c:pt idx="0">
                        <c:v>Laptop</c:v>
                      </c:pt>
                      <c:pt idx="1">
                        <c:v>mobile</c:v>
                      </c:pt>
                      <c:pt idx="2">
                        <c:v>Headphones</c:v>
                      </c:pt>
                      <c:pt idx="3">
                        <c:v>Office Chair</c:v>
                      </c:pt>
                      <c:pt idx="4">
                        <c:v>Study Table</c:v>
                      </c:pt>
                      <c:pt idx="5">
                        <c:v>Notebook Pack</c:v>
                      </c:pt>
                      <c:pt idx="6">
                        <c:v>pen box</c:v>
                      </c:pt>
                      <c:pt idx="7">
                        <c:v>backpack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summary!$C$15:$C$22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A39-4599-865C-0F2076697A7B}"/>
                  </c:ext>
                </c:extLst>
              </c15:ser>
            </c15:filteredBarSeries>
          </c:ext>
        </c:extLst>
      </c:barChart>
      <c:catAx>
        <c:axId val="47225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49359"/>
        <c:crosses val="autoZero"/>
        <c:auto val="1"/>
        <c:lblAlgn val="ctr"/>
        <c:lblOffset val="100"/>
        <c:noMultiLvlLbl val="0"/>
      </c:catAx>
      <c:valAx>
        <c:axId val="47224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25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821642021541562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8031496062992"/>
          <c:y val="0.27398148148148149"/>
          <c:w val="0.85219685039370074"/>
          <c:h val="0.64176727909011377"/>
        </c:manualLayout>
      </c:layout>
      <c:lineChart>
        <c:grouping val="standard"/>
        <c:varyColors val="0"/>
        <c:ser>
          <c:idx val="0"/>
          <c:order val="0"/>
          <c:tx>
            <c:strRef>
              <c:f>summary!$B$26</c:f>
              <c:strCache>
                <c:ptCount val="1"/>
                <c:pt idx="0">
                  <c:v>TOTAL SALES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summary!$A$27:$A$38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summary!$B$27:$B$38</c:f>
              <c:numCache>
                <c:formatCode>General</c:formatCode>
                <c:ptCount val="12"/>
                <c:pt idx="0">
                  <c:v>453390</c:v>
                </c:pt>
                <c:pt idx="1">
                  <c:v>447670</c:v>
                </c:pt>
                <c:pt idx="2">
                  <c:v>231500</c:v>
                </c:pt>
                <c:pt idx="3">
                  <c:v>529900</c:v>
                </c:pt>
                <c:pt idx="4">
                  <c:v>606220</c:v>
                </c:pt>
                <c:pt idx="5">
                  <c:v>298730</c:v>
                </c:pt>
                <c:pt idx="6">
                  <c:v>448180</c:v>
                </c:pt>
                <c:pt idx="7">
                  <c:v>513270</c:v>
                </c:pt>
                <c:pt idx="8">
                  <c:v>641190</c:v>
                </c:pt>
                <c:pt idx="9">
                  <c:v>346200</c:v>
                </c:pt>
                <c:pt idx="10">
                  <c:v>258940</c:v>
                </c:pt>
                <c:pt idx="11">
                  <c:v>244200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5A-4CDB-A169-C744BD639CF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73684047"/>
        <c:axId val="573686927"/>
      </c:lineChart>
      <c:catAx>
        <c:axId val="57368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86927"/>
        <c:crosses val="autoZero"/>
        <c:auto val="1"/>
        <c:lblAlgn val="ctr"/>
        <c:lblOffset val="100"/>
        <c:noMultiLvlLbl val="0"/>
      </c:catAx>
      <c:valAx>
        <c:axId val="57368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8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611480</xdr:colOff>
      <xdr:row>6</xdr:row>
      <xdr:rowOff>1</xdr:rowOff>
    </xdr:from>
    <xdr:to>
      <xdr:col>9</xdr:col>
      <xdr:colOff>282222</xdr:colOff>
      <xdr:row>14</xdr:row>
      <xdr:rowOff>82316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21334C-B290-4685-A37C-02B7EEC76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559405</xdr:colOff>
      <xdr:row>15</xdr:row>
      <xdr:rowOff>134392</xdr:rowOff>
    </xdr:from>
    <xdr:to>
      <xdr:col>9</xdr:col>
      <xdr:colOff>181429</xdr:colOff>
      <xdr:row>25</xdr:row>
      <xdr:rowOff>6052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278623-2336-4797-9202-E45980038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30238</xdr:colOff>
      <xdr:row>26</xdr:row>
      <xdr:rowOff>30239</xdr:rowOff>
    </xdr:from>
    <xdr:to>
      <xdr:col>9</xdr:col>
      <xdr:colOff>167988</xdr:colOff>
      <xdr:row>39</xdr:row>
      <xdr:rowOff>13440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80020-0FDB-47F2-BBD6-0730B74F7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1C9F-AA4F-405E-B3CF-3AC9436AAB52}">
  <dimension ref="A1:I200"/>
  <sheetViews>
    <sheetView zoomScale="70" zoomScaleNormal="70" workbookViewId="0">
      <pane ySplit="1" topLeftCell="A2" activePane="bottomLeft" state="frozen"/>
      <selection pane="bottomLeft" activeCell="I201" sqref="I201"/>
    </sheetView>
  </sheetViews>
  <sheetFormatPr defaultRowHeight="14.5" x14ac:dyDescent="0.35"/>
  <cols>
    <col min="1" max="1" width="10" customWidth="1"/>
    <col min="2" max="2" width="13" customWidth="1"/>
    <col min="3" max="3" width="10" customWidth="1"/>
    <col min="4" max="4" width="16" customWidth="1"/>
    <col min="5" max="5" width="13" customWidth="1"/>
    <col min="6" max="6" width="10" customWidth="1"/>
    <col min="7" max="7" width="12" customWidth="1"/>
    <col min="8" max="8" width="14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23</v>
      </c>
      <c r="I1" s="1" t="s">
        <v>41</v>
      </c>
    </row>
    <row r="2" spans="1:9" x14ac:dyDescent="0.35">
      <c r="A2" s="2">
        <v>1001</v>
      </c>
      <c r="B2" s="3">
        <v>45658</v>
      </c>
      <c r="C2" s="2" t="s">
        <v>7</v>
      </c>
      <c r="D2" s="2" t="s">
        <v>8</v>
      </c>
      <c r="E2" s="2" t="s">
        <v>9</v>
      </c>
      <c r="F2" s="2">
        <v>7</v>
      </c>
      <c r="G2" s="2">
        <v>250</v>
      </c>
      <c r="H2">
        <f t="shared" ref="H2:H33" si="0">F2*G2</f>
        <v>1750</v>
      </c>
      <c r="I2" t="str">
        <f>TEXT(B2,"mmm")</f>
        <v>Jan</v>
      </c>
    </row>
    <row r="3" spans="1:9" x14ac:dyDescent="0.35">
      <c r="A3" s="2">
        <v>1002</v>
      </c>
      <c r="B3" s="3">
        <v>45658</v>
      </c>
      <c r="C3" s="2" t="s">
        <v>10</v>
      </c>
      <c r="D3" s="2" t="s">
        <v>11</v>
      </c>
      <c r="E3" s="2" t="s">
        <v>12</v>
      </c>
      <c r="F3" s="2">
        <v>2</v>
      </c>
      <c r="G3" s="2">
        <v>18000</v>
      </c>
      <c r="H3">
        <f t="shared" si="0"/>
        <v>36000</v>
      </c>
      <c r="I3" t="str">
        <f t="shared" ref="I3:I66" si="1">TEXT(B3,"mmm")</f>
        <v>Jan</v>
      </c>
    </row>
    <row r="4" spans="1:9" x14ac:dyDescent="0.35">
      <c r="A4" s="2">
        <v>1003</v>
      </c>
      <c r="B4" s="3">
        <v>45658</v>
      </c>
      <c r="C4" s="2" t="s">
        <v>7</v>
      </c>
      <c r="D4" s="2" t="s">
        <v>13</v>
      </c>
      <c r="E4" s="2" t="s">
        <v>12</v>
      </c>
      <c r="F4" s="2">
        <v>4</v>
      </c>
      <c r="G4" s="2">
        <v>2000</v>
      </c>
      <c r="H4">
        <f t="shared" si="0"/>
        <v>8000</v>
      </c>
      <c r="I4" t="str">
        <f t="shared" si="1"/>
        <v>Jan</v>
      </c>
    </row>
    <row r="5" spans="1:9" x14ac:dyDescent="0.35">
      <c r="A5" s="2">
        <v>1004</v>
      </c>
      <c r="B5" s="3">
        <v>45659</v>
      </c>
      <c r="C5" s="2" t="s">
        <v>14</v>
      </c>
      <c r="D5" s="2" t="s">
        <v>15</v>
      </c>
      <c r="E5" s="2" t="s">
        <v>16</v>
      </c>
      <c r="F5" s="2">
        <v>6</v>
      </c>
      <c r="G5" s="2">
        <v>5200</v>
      </c>
      <c r="H5">
        <f t="shared" si="0"/>
        <v>31200</v>
      </c>
      <c r="I5" t="str">
        <f t="shared" si="1"/>
        <v>Jan</v>
      </c>
    </row>
    <row r="6" spans="1:9" x14ac:dyDescent="0.35">
      <c r="A6" s="2">
        <v>1005</v>
      </c>
      <c r="B6" s="3">
        <v>45659</v>
      </c>
      <c r="C6" s="2" t="s">
        <v>7</v>
      </c>
      <c r="D6" s="2" t="s">
        <v>17</v>
      </c>
      <c r="E6" s="2" t="s">
        <v>18</v>
      </c>
      <c r="F6" s="2">
        <v>2</v>
      </c>
      <c r="G6" s="2">
        <v>1500</v>
      </c>
      <c r="H6">
        <f t="shared" si="0"/>
        <v>3000</v>
      </c>
      <c r="I6" t="str">
        <f t="shared" si="1"/>
        <v>Jan</v>
      </c>
    </row>
    <row r="7" spans="1:9" x14ac:dyDescent="0.35">
      <c r="A7" s="2">
        <v>1006</v>
      </c>
      <c r="B7" s="3">
        <v>45660</v>
      </c>
      <c r="C7" s="2" t="s">
        <v>14</v>
      </c>
      <c r="D7" s="2" t="s">
        <v>13</v>
      </c>
      <c r="E7" s="2" t="s">
        <v>12</v>
      </c>
      <c r="F7" s="2">
        <v>7</v>
      </c>
      <c r="G7" s="2">
        <v>2000</v>
      </c>
      <c r="H7">
        <f t="shared" si="0"/>
        <v>14000</v>
      </c>
      <c r="I7" t="str">
        <f t="shared" si="1"/>
        <v>Jan</v>
      </c>
    </row>
    <row r="8" spans="1:9" x14ac:dyDescent="0.35">
      <c r="A8" s="2">
        <v>1007</v>
      </c>
      <c r="B8" s="3">
        <v>45663</v>
      </c>
      <c r="C8" s="2" t="s">
        <v>10</v>
      </c>
      <c r="D8" s="2" t="s">
        <v>8</v>
      </c>
      <c r="E8" s="2" t="s">
        <v>9</v>
      </c>
      <c r="F8" s="2">
        <v>9</v>
      </c>
      <c r="G8" s="2">
        <v>250</v>
      </c>
      <c r="H8">
        <f t="shared" si="0"/>
        <v>2250</v>
      </c>
      <c r="I8" t="str">
        <f t="shared" si="1"/>
        <v>Jan</v>
      </c>
    </row>
    <row r="9" spans="1:9" x14ac:dyDescent="0.35">
      <c r="A9" s="2">
        <v>1008</v>
      </c>
      <c r="B9" s="3">
        <v>45664</v>
      </c>
      <c r="C9" s="2" t="s">
        <v>10</v>
      </c>
      <c r="D9" s="2" t="s">
        <v>17</v>
      </c>
      <c r="E9" s="2" t="s">
        <v>18</v>
      </c>
      <c r="F9" s="2">
        <v>1</v>
      </c>
      <c r="G9" s="2">
        <v>1500</v>
      </c>
      <c r="H9">
        <f t="shared" si="0"/>
        <v>1500</v>
      </c>
      <c r="I9" t="str">
        <f t="shared" si="1"/>
        <v>Jan</v>
      </c>
    </row>
    <row r="10" spans="1:9" x14ac:dyDescent="0.35">
      <c r="A10" s="2">
        <v>1009</v>
      </c>
      <c r="B10" s="3">
        <v>45667</v>
      </c>
      <c r="C10" s="2" t="s">
        <v>10</v>
      </c>
      <c r="D10" s="2" t="s">
        <v>8</v>
      </c>
      <c r="E10" s="2" t="s">
        <v>9</v>
      </c>
      <c r="F10" s="2">
        <v>9</v>
      </c>
      <c r="G10" s="2">
        <v>250</v>
      </c>
      <c r="H10">
        <f t="shared" si="0"/>
        <v>2250</v>
      </c>
      <c r="I10" t="str">
        <f t="shared" si="1"/>
        <v>Jan</v>
      </c>
    </row>
    <row r="11" spans="1:9" x14ac:dyDescent="0.35">
      <c r="A11" s="2">
        <v>1010</v>
      </c>
      <c r="B11" s="3">
        <v>45667</v>
      </c>
      <c r="C11" s="2" t="s">
        <v>7</v>
      </c>
      <c r="D11" s="2" t="s">
        <v>15</v>
      </c>
      <c r="E11" s="2" t="s">
        <v>16</v>
      </c>
      <c r="F11" s="2">
        <v>1</v>
      </c>
      <c r="G11" s="2">
        <v>5200</v>
      </c>
      <c r="H11">
        <f t="shared" si="0"/>
        <v>5200</v>
      </c>
      <c r="I11" t="str">
        <f t="shared" si="1"/>
        <v>Jan</v>
      </c>
    </row>
    <row r="12" spans="1:9" x14ac:dyDescent="0.35">
      <c r="A12" s="2">
        <v>1011</v>
      </c>
      <c r="B12" s="3">
        <v>45667</v>
      </c>
      <c r="C12" s="2" t="s">
        <v>10</v>
      </c>
      <c r="D12" s="2" t="s">
        <v>19</v>
      </c>
      <c r="E12" s="2" t="s">
        <v>16</v>
      </c>
      <c r="F12" s="2">
        <v>9</v>
      </c>
      <c r="G12" s="2">
        <v>6500</v>
      </c>
      <c r="H12">
        <f t="shared" si="0"/>
        <v>58500</v>
      </c>
      <c r="I12" t="str">
        <f t="shared" si="1"/>
        <v>Jan</v>
      </c>
    </row>
    <row r="13" spans="1:9" x14ac:dyDescent="0.35">
      <c r="A13" s="2">
        <v>1012</v>
      </c>
      <c r="B13" s="3">
        <v>45668</v>
      </c>
      <c r="C13" s="2" t="s">
        <v>7</v>
      </c>
      <c r="D13" s="2" t="s">
        <v>20</v>
      </c>
      <c r="E13" s="2" t="s">
        <v>12</v>
      </c>
      <c r="F13" s="2">
        <v>3</v>
      </c>
      <c r="G13" s="2">
        <v>45000</v>
      </c>
      <c r="H13">
        <f t="shared" si="0"/>
        <v>135000</v>
      </c>
      <c r="I13" t="str">
        <f t="shared" si="1"/>
        <v>Jan</v>
      </c>
    </row>
    <row r="14" spans="1:9" x14ac:dyDescent="0.35">
      <c r="A14" s="2">
        <v>1013</v>
      </c>
      <c r="B14" s="3">
        <v>45670</v>
      </c>
      <c r="C14" s="2" t="s">
        <v>10</v>
      </c>
      <c r="D14" s="2" t="s">
        <v>13</v>
      </c>
      <c r="E14" s="2" t="s">
        <v>12</v>
      </c>
      <c r="F14" s="2">
        <v>1</v>
      </c>
      <c r="G14" s="2">
        <v>2000</v>
      </c>
      <c r="H14">
        <f t="shared" si="0"/>
        <v>2000</v>
      </c>
      <c r="I14" t="str">
        <f t="shared" si="1"/>
        <v>Jan</v>
      </c>
    </row>
    <row r="15" spans="1:9" x14ac:dyDescent="0.35">
      <c r="A15" s="2">
        <v>1014</v>
      </c>
      <c r="B15" s="3">
        <v>45672</v>
      </c>
      <c r="C15" s="2" t="s">
        <v>14</v>
      </c>
      <c r="D15" s="2" t="s">
        <v>15</v>
      </c>
      <c r="E15" s="2" t="s">
        <v>16</v>
      </c>
      <c r="F15" s="2">
        <v>8</v>
      </c>
      <c r="G15" s="2">
        <v>5200</v>
      </c>
      <c r="H15">
        <f t="shared" si="0"/>
        <v>41600</v>
      </c>
      <c r="I15" t="str">
        <f t="shared" si="1"/>
        <v>Jan</v>
      </c>
    </row>
    <row r="16" spans="1:9" x14ac:dyDescent="0.35">
      <c r="A16" s="2">
        <v>1015</v>
      </c>
      <c r="B16" s="3">
        <v>45674</v>
      </c>
      <c r="C16" s="2" t="s">
        <v>10</v>
      </c>
      <c r="D16" s="2" t="s">
        <v>21</v>
      </c>
      <c r="E16" s="2" t="s">
        <v>9</v>
      </c>
      <c r="F16" s="2">
        <v>8</v>
      </c>
      <c r="G16" s="2">
        <v>120</v>
      </c>
      <c r="H16">
        <f t="shared" si="0"/>
        <v>960</v>
      </c>
      <c r="I16" t="str">
        <f t="shared" si="1"/>
        <v>Jan</v>
      </c>
    </row>
    <row r="17" spans="1:9" x14ac:dyDescent="0.35">
      <c r="A17" s="2">
        <v>1016</v>
      </c>
      <c r="B17" s="3">
        <v>45680</v>
      </c>
      <c r="C17" s="2" t="s">
        <v>22</v>
      </c>
      <c r="D17" s="2" t="s">
        <v>21</v>
      </c>
      <c r="E17" s="2" t="s">
        <v>9</v>
      </c>
      <c r="F17" s="2">
        <v>9</v>
      </c>
      <c r="G17" s="2">
        <v>120</v>
      </c>
      <c r="H17">
        <f t="shared" si="0"/>
        <v>1080</v>
      </c>
      <c r="I17" t="str">
        <f t="shared" si="1"/>
        <v>Jan</v>
      </c>
    </row>
    <row r="18" spans="1:9" x14ac:dyDescent="0.35">
      <c r="A18" s="2">
        <v>1017</v>
      </c>
      <c r="B18" s="3">
        <v>45681</v>
      </c>
      <c r="C18" s="2" t="s">
        <v>22</v>
      </c>
      <c r="D18" s="2" t="s">
        <v>19</v>
      </c>
      <c r="E18" s="2" t="s">
        <v>16</v>
      </c>
      <c r="F18" s="2">
        <v>2</v>
      </c>
      <c r="G18" s="2">
        <v>6500</v>
      </c>
      <c r="H18">
        <f t="shared" si="0"/>
        <v>13000</v>
      </c>
      <c r="I18" t="str">
        <f t="shared" si="1"/>
        <v>Jan</v>
      </c>
    </row>
    <row r="19" spans="1:9" x14ac:dyDescent="0.35">
      <c r="A19" s="2">
        <v>1018</v>
      </c>
      <c r="B19" s="3">
        <v>45683</v>
      </c>
      <c r="C19" s="2" t="s">
        <v>22</v>
      </c>
      <c r="D19" s="2" t="s">
        <v>19</v>
      </c>
      <c r="E19" s="2" t="s">
        <v>16</v>
      </c>
      <c r="F19" s="2">
        <v>1</v>
      </c>
      <c r="G19" s="2">
        <v>6500</v>
      </c>
      <c r="H19">
        <f t="shared" si="0"/>
        <v>6500</v>
      </c>
      <c r="I19" t="str">
        <f t="shared" si="1"/>
        <v>Jan</v>
      </c>
    </row>
    <row r="20" spans="1:9" x14ac:dyDescent="0.35">
      <c r="A20" s="2">
        <v>1019</v>
      </c>
      <c r="B20" s="3">
        <v>45683</v>
      </c>
      <c r="C20" s="2" t="s">
        <v>10</v>
      </c>
      <c r="D20" s="2" t="s">
        <v>13</v>
      </c>
      <c r="E20" s="2" t="s">
        <v>12</v>
      </c>
      <c r="F20" s="2">
        <v>3</v>
      </c>
      <c r="G20" s="2">
        <v>2000</v>
      </c>
      <c r="H20">
        <f t="shared" si="0"/>
        <v>6000</v>
      </c>
      <c r="I20" t="str">
        <f t="shared" si="1"/>
        <v>Jan</v>
      </c>
    </row>
    <row r="21" spans="1:9" x14ac:dyDescent="0.35">
      <c r="A21" s="2">
        <v>1020</v>
      </c>
      <c r="B21" s="3">
        <v>45684</v>
      </c>
      <c r="C21" s="2" t="s">
        <v>22</v>
      </c>
      <c r="D21" s="2" t="s">
        <v>15</v>
      </c>
      <c r="E21" s="2" t="s">
        <v>16</v>
      </c>
      <c r="F21" s="2">
        <v>3</v>
      </c>
      <c r="G21" s="2">
        <v>5200</v>
      </c>
      <c r="H21">
        <f t="shared" si="0"/>
        <v>15600</v>
      </c>
      <c r="I21" t="str">
        <f t="shared" si="1"/>
        <v>Jan</v>
      </c>
    </row>
    <row r="22" spans="1:9" x14ac:dyDescent="0.35">
      <c r="A22" s="2">
        <v>1021</v>
      </c>
      <c r="B22" s="3">
        <v>45686</v>
      </c>
      <c r="C22" s="2" t="s">
        <v>10</v>
      </c>
      <c r="D22" s="2" t="s">
        <v>11</v>
      </c>
      <c r="E22" s="2" t="s">
        <v>12</v>
      </c>
      <c r="F22" s="2">
        <v>3</v>
      </c>
      <c r="G22" s="2">
        <v>18000</v>
      </c>
      <c r="H22">
        <f t="shared" si="0"/>
        <v>54000</v>
      </c>
      <c r="I22" t="str">
        <f t="shared" si="1"/>
        <v>Jan</v>
      </c>
    </row>
    <row r="23" spans="1:9" x14ac:dyDescent="0.35">
      <c r="A23" s="2">
        <v>1022</v>
      </c>
      <c r="B23" s="3">
        <v>45687</v>
      </c>
      <c r="C23" s="2" t="s">
        <v>7</v>
      </c>
      <c r="D23" s="2" t="s">
        <v>13</v>
      </c>
      <c r="E23" s="2" t="s">
        <v>12</v>
      </c>
      <c r="F23" s="2">
        <v>7</v>
      </c>
      <c r="G23" s="2">
        <v>2000</v>
      </c>
      <c r="H23">
        <f t="shared" si="0"/>
        <v>14000</v>
      </c>
      <c r="I23" t="str">
        <f t="shared" si="1"/>
        <v>Jan</v>
      </c>
    </row>
    <row r="24" spans="1:9" x14ac:dyDescent="0.35">
      <c r="A24" s="2">
        <v>1023</v>
      </c>
      <c r="B24" s="3">
        <v>45689</v>
      </c>
      <c r="C24" s="2" t="s">
        <v>22</v>
      </c>
      <c r="D24" s="2" t="s">
        <v>19</v>
      </c>
      <c r="E24" s="2" t="s">
        <v>16</v>
      </c>
      <c r="F24" s="2">
        <v>2</v>
      </c>
      <c r="G24" s="2">
        <v>6500</v>
      </c>
      <c r="H24">
        <f t="shared" si="0"/>
        <v>13000</v>
      </c>
      <c r="I24" t="str">
        <f t="shared" si="1"/>
        <v>Feb</v>
      </c>
    </row>
    <row r="25" spans="1:9" x14ac:dyDescent="0.35">
      <c r="A25" s="2">
        <v>1024</v>
      </c>
      <c r="B25" s="3">
        <v>45692</v>
      </c>
      <c r="C25" s="2" t="s">
        <v>10</v>
      </c>
      <c r="D25" s="2" t="s">
        <v>15</v>
      </c>
      <c r="E25" s="2" t="s">
        <v>16</v>
      </c>
      <c r="F25" s="2">
        <v>2</v>
      </c>
      <c r="G25" s="2">
        <v>5200</v>
      </c>
      <c r="H25">
        <f t="shared" si="0"/>
        <v>10400</v>
      </c>
      <c r="I25" t="str">
        <f t="shared" si="1"/>
        <v>Feb</v>
      </c>
    </row>
    <row r="26" spans="1:9" x14ac:dyDescent="0.35">
      <c r="A26" s="2">
        <v>1025</v>
      </c>
      <c r="B26" s="3">
        <v>45693</v>
      </c>
      <c r="C26" s="2" t="s">
        <v>10</v>
      </c>
      <c r="D26" s="2" t="s">
        <v>11</v>
      </c>
      <c r="E26" s="2" t="s">
        <v>12</v>
      </c>
      <c r="F26" s="2">
        <v>2</v>
      </c>
      <c r="G26" s="2">
        <v>18000</v>
      </c>
      <c r="H26">
        <f t="shared" si="0"/>
        <v>36000</v>
      </c>
      <c r="I26" t="str">
        <f t="shared" si="1"/>
        <v>Feb</v>
      </c>
    </row>
    <row r="27" spans="1:9" x14ac:dyDescent="0.35">
      <c r="A27" s="2">
        <v>1026</v>
      </c>
      <c r="B27" s="3">
        <v>45694</v>
      </c>
      <c r="C27" s="2" t="s">
        <v>22</v>
      </c>
      <c r="D27" s="2" t="s">
        <v>15</v>
      </c>
      <c r="E27" s="2" t="s">
        <v>16</v>
      </c>
      <c r="F27" s="2">
        <v>7</v>
      </c>
      <c r="G27" s="2">
        <v>5200</v>
      </c>
      <c r="H27">
        <f t="shared" si="0"/>
        <v>36400</v>
      </c>
      <c r="I27" t="str">
        <f t="shared" si="1"/>
        <v>Feb</v>
      </c>
    </row>
    <row r="28" spans="1:9" x14ac:dyDescent="0.35">
      <c r="A28" s="2">
        <v>1027</v>
      </c>
      <c r="B28" s="3">
        <v>45695</v>
      </c>
      <c r="C28" s="2" t="s">
        <v>7</v>
      </c>
      <c r="D28" s="2" t="s">
        <v>11</v>
      </c>
      <c r="E28" s="2" t="s">
        <v>12</v>
      </c>
      <c r="F28" s="2">
        <v>2</v>
      </c>
      <c r="G28" s="2">
        <v>18000</v>
      </c>
      <c r="H28">
        <f t="shared" si="0"/>
        <v>36000</v>
      </c>
      <c r="I28" t="str">
        <f t="shared" si="1"/>
        <v>Feb</v>
      </c>
    </row>
    <row r="29" spans="1:9" x14ac:dyDescent="0.35">
      <c r="A29" s="2">
        <v>1028</v>
      </c>
      <c r="B29" s="3">
        <v>45697</v>
      </c>
      <c r="C29" s="2" t="s">
        <v>10</v>
      </c>
      <c r="D29" s="2" t="s">
        <v>17</v>
      </c>
      <c r="E29" s="2" t="s">
        <v>18</v>
      </c>
      <c r="F29" s="2">
        <v>5</v>
      </c>
      <c r="G29" s="2">
        <v>1500</v>
      </c>
      <c r="H29">
        <f t="shared" si="0"/>
        <v>7500</v>
      </c>
      <c r="I29" t="str">
        <f t="shared" si="1"/>
        <v>Feb</v>
      </c>
    </row>
    <row r="30" spans="1:9" x14ac:dyDescent="0.35">
      <c r="A30" s="2">
        <v>1029</v>
      </c>
      <c r="B30" s="3">
        <v>45699</v>
      </c>
      <c r="C30" s="2" t="s">
        <v>10</v>
      </c>
      <c r="D30" s="2" t="s">
        <v>20</v>
      </c>
      <c r="E30" s="2" t="s">
        <v>12</v>
      </c>
      <c r="F30" s="2">
        <v>3</v>
      </c>
      <c r="G30" s="2">
        <v>45000</v>
      </c>
      <c r="H30">
        <f t="shared" si="0"/>
        <v>135000</v>
      </c>
      <c r="I30" t="str">
        <f t="shared" si="1"/>
        <v>Feb</v>
      </c>
    </row>
    <row r="31" spans="1:9" x14ac:dyDescent="0.35">
      <c r="A31" s="2">
        <v>1030</v>
      </c>
      <c r="B31" s="3">
        <v>45700</v>
      </c>
      <c r="C31" s="2" t="s">
        <v>22</v>
      </c>
      <c r="D31" s="2" t="s">
        <v>13</v>
      </c>
      <c r="E31" s="2" t="s">
        <v>12</v>
      </c>
      <c r="F31" s="2">
        <v>3</v>
      </c>
      <c r="G31" s="2">
        <v>2000</v>
      </c>
      <c r="H31">
        <f t="shared" si="0"/>
        <v>6000</v>
      </c>
      <c r="I31" t="str">
        <f t="shared" si="1"/>
        <v>Feb</v>
      </c>
    </row>
    <row r="32" spans="1:9" x14ac:dyDescent="0.35">
      <c r="A32" s="2">
        <v>1031</v>
      </c>
      <c r="B32" s="3">
        <v>45701</v>
      </c>
      <c r="C32" s="2" t="s">
        <v>24</v>
      </c>
      <c r="D32" s="2" t="s">
        <v>20</v>
      </c>
      <c r="E32" s="2" t="s">
        <v>12</v>
      </c>
      <c r="F32" s="2">
        <v>1</v>
      </c>
      <c r="G32" s="2">
        <v>45000</v>
      </c>
      <c r="H32">
        <f t="shared" si="0"/>
        <v>45000</v>
      </c>
      <c r="I32" t="str">
        <f t="shared" si="1"/>
        <v>Feb</v>
      </c>
    </row>
    <row r="33" spans="1:9" x14ac:dyDescent="0.35">
      <c r="A33" s="2">
        <v>1032</v>
      </c>
      <c r="B33" s="3">
        <v>45703</v>
      </c>
      <c r="C33" s="2" t="s">
        <v>7</v>
      </c>
      <c r="D33" s="2" t="s">
        <v>13</v>
      </c>
      <c r="E33" s="2" t="s">
        <v>12</v>
      </c>
      <c r="F33" s="2">
        <v>7</v>
      </c>
      <c r="G33" s="2">
        <v>2000</v>
      </c>
      <c r="H33">
        <f t="shared" si="0"/>
        <v>14000</v>
      </c>
      <c r="I33" t="str">
        <f t="shared" si="1"/>
        <v>Feb</v>
      </c>
    </row>
    <row r="34" spans="1:9" x14ac:dyDescent="0.35">
      <c r="A34" s="2">
        <v>1033</v>
      </c>
      <c r="B34" s="3">
        <v>45704</v>
      </c>
      <c r="C34" s="2" t="s">
        <v>7</v>
      </c>
      <c r="D34" s="2" t="s">
        <v>21</v>
      </c>
      <c r="E34" s="2" t="s">
        <v>9</v>
      </c>
      <c r="F34" s="2">
        <v>1</v>
      </c>
      <c r="G34" s="2">
        <v>120</v>
      </c>
      <c r="H34">
        <f t="shared" ref="H34:H65" si="2">F34*G34</f>
        <v>120</v>
      </c>
      <c r="I34" t="str">
        <f t="shared" si="1"/>
        <v>Feb</v>
      </c>
    </row>
    <row r="35" spans="1:9" x14ac:dyDescent="0.35">
      <c r="A35" s="2">
        <v>1034</v>
      </c>
      <c r="B35" s="3">
        <v>45710</v>
      </c>
      <c r="C35" s="2" t="s">
        <v>7</v>
      </c>
      <c r="D35" s="2" t="s">
        <v>19</v>
      </c>
      <c r="E35" s="2" t="s">
        <v>16</v>
      </c>
      <c r="F35" s="2">
        <v>6</v>
      </c>
      <c r="G35" s="2">
        <v>6500</v>
      </c>
      <c r="H35">
        <f t="shared" si="2"/>
        <v>39000</v>
      </c>
      <c r="I35" t="str">
        <f t="shared" si="1"/>
        <v>Feb</v>
      </c>
    </row>
    <row r="36" spans="1:9" x14ac:dyDescent="0.35">
      <c r="A36" s="2">
        <v>1035</v>
      </c>
      <c r="B36" s="3">
        <v>45710</v>
      </c>
      <c r="C36" s="2" t="s">
        <v>10</v>
      </c>
      <c r="D36" s="2" t="s">
        <v>8</v>
      </c>
      <c r="E36" s="2" t="s">
        <v>9</v>
      </c>
      <c r="F36" s="2">
        <v>5</v>
      </c>
      <c r="G36" s="2">
        <v>250</v>
      </c>
      <c r="H36">
        <f t="shared" si="2"/>
        <v>1250</v>
      </c>
      <c r="I36" t="str">
        <f t="shared" si="1"/>
        <v>Feb</v>
      </c>
    </row>
    <row r="37" spans="1:9" x14ac:dyDescent="0.35">
      <c r="A37" s="2">
        <v>1036</v>
      </c>
      <c r="B37" s="3">
        <v>45712</v>
      </c>
      <c r="C37" s="2" t="s">
        <v>22</v>
      </c>
      <c r="D37" s="2" t="s">
        <v>20</v>
      </c>
      <c r="E37" s="2" t="s">
        <v>12</v>
      </c>
      <c r="F37" s="2">
        <v>1</v>
      </c>
      <c r="G37" s="2">
        <v>45000</v>
      </c>
      <c r="H37">
        <f t="shared" si="2"/>
        <v>45000</v>
      </c>
      <c r="I37" t="str">
        <f t="shared" si="1"/>
        <v>Feb</v>
      </c>
    </row>
    <row r="38" spans="1:9" x14ac:dyDescent="0.35">
      <c r="A38" s="2">
        <v>1037</v>
      </c>
      <c r="B38" s="3">
        <v>45714</v>
      </c>
      <c r="C38" s="2" t="s">
        <v>7</v>
      </c>
      <c r="D38" s="2" t="s">
        <v>13</v>
      </c>
      <c r="E38" s="2" t="s">
        <v>12</v>
      </c>
      <c r="F38" s="2">
        <v>5</v>
      </c>
      <c r="G38" s="2">
        <v>2000</v>
      </c>
      <c r="H38">
        <f t="shared" si="2"/>
        <v>10000</v>
      </c>
      <c r="I38" t="str">
        <f t="shared" si="1"/>
        <v>Feb</v>
      </c>
    </row>
    <row r="39" spans="1:9" x14ac:dyDescent="0.35">
      <c r="A39" s="2">
        <v>1038</v>
      </c>
      <c r="B39" s="3">
        <v>45715</v>
      </c>
      <c r="C39" s="2" t="s">
        <v>7</v>
      </c>
      <c r="D39" s="2" t="s">
        <v>19</v>
      </c>
      <c r="E39" s="2" t="s">
        <v>16</v>
      </c>
      <c r="F39" s="2">
        <v>2</v>
      </c>
      <c r="G39" s="2">
        <v>6500</v>
      </c>
      <c r="H39">
        <f t="shared" si="2"/>
        <v>13000</v>
      </c>
      <c r="I39" t="str">
        <f t="shared" si="1"/>
        <v>Feb</v>
      </c>
    </row>
    <row r="40" spans="1:9" x14ac:dyDescent="0.35">
      <c r="A40" s="2">
        <v>1039</v>
      </c>
      <c r="B40" s="3">
        <v>45717</v>
      </c>
      <c r="C40" s="2" t="s">
        <v>10</v>
      </c>
      <c r="D40" s="2" t="s">
        <v>17</v>
      </c>
      <c r="E40" s="2" t="s">
        <v>18</v>
      </c>
      <c r="F40" s="2">
        <v>8</v>
      </c>
      <c r="G40" s="2">
        <v>1500</v>
      </c>
      <c r="H40">
        <f t="shared" si="2"/>
        <v>12000</v>
      </c>
      <c r="I40" t="str">
        <f t="shared" si="1"/>
        <v>Mar</v>
      </c>
    </row>
    <row r="41" spans="1:9" x14ac:dyDescent="0.35">
      <c r="A41" s="2">
        <v>1040</v>
      </c>
      <c r="B41" s="3">
        <v>45719</v>
      </c>
      <c r="C41" s="2" t="s">
        <v>7</v>
      </c>
      <c r="D41" s="2" t="s">
        <v>13</v>
      </c>
      <c r="E41" s="2" t="s">
        <v>12</v>
      </c>
      <c r="F41" s="2">
        <v>3</v>
      </c>
      <c r="G41" s="2">
        <v>2000</v>
      </c>
      <c r="H41">
        <f t="shared" si="2"/>
        <v>6000</v>
      </c>
      <c r="I41" t="str">
        <f t="shared" si="1"/>
        <v>Mar</v>
      </c>
    </row>
    <row r="42" spans="1:9" x14ac:dyDescent="0.35">
      <c r="A42" s="2">
        <v>1041</v>
      </c>
      <c r="B42" s="3">
        <v>45722</v>
      </c>
      <c r="C42" s="2" t="s">
        <v>14</v>
      </c>
      <c r="D42" s="2" t="s">
        <v>19</v>
      </c>
      <c r="E42" s="2" t="s">
        <v>16</v>
      </c>
      <c r="F42" s="2">
        <v>2</v>
      </c>
      <c r="G42" s="2">
        <v>6500</v>
      </c>
      <c r="H42">
        <f t="shared" si="2"/>
        <v>13000</v>
      </c>
      <c r="I42" t="str">
        <f t="shared" si="1"/>
        <v>Mar</v>
      </c>
    </row>
    <row r="43" spans="1:9" x14ac:dyDescent="0.35">
      <c r="A43" s="2">
        <v>1042</v>
      </c>
      <c r="B43" s="3">
        <v>45724</v>
      </c>
      <c r="C43" s="2" t="s">
        <v>10</v>
      </c>
      <c r="D43" s="2" t="s">
        <v>19</v>
      </c>
      <c r="E43" s="2" t="s">
        <v>16</v>
      </c>
      <c r="F43" s="2">
        <v>7</v>
      </c>
      <c r="G43" s="2">
        <v>6500</v>
      </c>
      <c r="H43">
        <f t="shared" si="2"/>
        <v>45500</v>
      </c>
      <c r="I43" t="str">
        <f t="shared" si="1"/>
        <v>Mar</v>
      </c>
    </row>
    <row r="44" spans="1:9" x14ac:dyDescent="0.35">
      <c r="A44" s="2">
        <v>1043</v>
      </c>
      <c r="B44" s="3">
        <v>45728</v>
      </c>
      <c r="C44" s="2" t="s">
        <v>7</v>
      </c>
      <c r="D44" s="2" t="s">
        <v>17</v>
      </c>
      <c r="E44" s="2" t="s">
        <v>18</v>
      </c>
      <c r="F44" s="2">
        <v>4</v>
      </c>
      <c r="G44" s="2">
        <v>1500</v>
      </c>
      <c r="H44">
        <f t="shared" si="2"/>
        <v>6000</v>
      </c>
      <c r="I44" t="str">
        <f t="shared" si="1"/>
        <v>Mar</v>
      </c>
    </row>
    <row r="45" spans="1:9" x14ac:dyDescent="0.35">
      <c r="A45" s="2">
        <v>1044</v>
      </c>
      <c r="B45" s="3">
        <v>45729</v>
      </c>
      <c r="C45" s="2" t="s">
        <v>7</v>
      </c>
      <c r="D45" s="2" t="s">
        <v>19</v>
      </c>
      <c r="E45" s="2" t="s">
        <v>16</v>
      </c>
      <c r="F45" s="2">
        <v>4</v>
      </c>
      <c r="G45" s="2">
        <v>6500</v>
      </c>
      <c r="H45">
        <f t="shared" si="2"/>
        <v>26000</v>
      </c>
      <c r="I45" t="str">
        <f t="shared" si="1"/>
        <v>Mar</v>
      </c>
    </row>
    <row r="46" spans="1:9" x14ac:dyDescent="0.35">
      <c r="A46" s="2">
        <v>1045</v>
      </c>
      <c r="B46" s="3">
        <v>45730</v>
      </c>
      <c r="C46" s="2" t="s">
        <v>7</v>
      </c>
      <c r="D46" s="2" t="s">
        <v>17</v>
      </c>
      <c r="E46" s="2" t="s">
        <v>18</v>
      </c>
      <c r="F46" s="2">
        <v>10</v>
      </c>
      <c r="G46" s="2">
        <v>1500</v>
      </c>
      <c r="H46">
        <f t="shared" si="2"/>
        <v>15000</v>
      </c>
      <c r="I46" t="str">
        <f t="shared" si="1"/>
        <v>Mar</v>
      </c>
    </row>
    <row r="47" spans="1:9" x14ac:dyDescent="0.35">
      <c r="A47" s="2">
        <v>1046</v>
      </c>
      <c r="B47" s="3">
        <v>45730</v>
      </c>
      <c r="C47" s="2" t="s">
        <v>22</v>
      </c>
      <c r="D47" s="2" t="s">
        <v>15</v>
      </c>
      <c r="E47" s="2" t="s">
        <v>16</v>
      </c>
      <c r="F47" s="2">
        <v>6</v>
      </c>
      <c r="G47" s="2">
        <v>5200</v>
      </c>
      <c r="H47">
        <f t="shared" si="2"/>
        <v>31200</v>
      </c>
      <c r="I47" t="str">
        <f t="shared" si="1"/>
        <v>Mar</v>
      </c>
    </row>
    <row r="48" spans="1:9" x14ac:dyDescent="0.35">
      <c r="A48" s="2">
        <v>1047</v>
      </c>
      <c r="B48" s="3">
        <v>45730</v>
      </c>
      <c r="C48" s="2" t="s">
        <v>10</v>
      </c>
      <c r="D48" s="2" t="s">
        <v>21</v>
      </c>
      <c r="E48" s="2" t="s">
        <v>9</v>
      </c>
      <c r="F48" s="2">
        <v>6</v>
      </c>
      <c r="G48" s="2">
        <v>120</v>
      </c>
      <c r="H48">
        <f t="shared" si="2"/>
        <v>720</v>
      </c>
      <c r="I48" t="str">
        <f t="shared" si="1"/>
        <v>Mar</v>
      </c>
    </row>
    <row r="49" spans="1:9" x14ac:dyDescent="0.35">
      <c r="A49" s="2">
        <v>1048</v>
      </c>
      <c r="B49" s="3">
        <v>45734</v>
      </c>
      <c r="C49" s="2" t="s">
        <v>22</v>
      </c>
      <c r="D49" s="2" t="s">
        <v>15</v>
      </c>
      <c r="E49" s="2" t="s">
        <v>16</v>
      </c>
      <c r="F49" s="2">
        <v>10</v>
      </c>
      <c r="G49" s="2">
        <v>5200</v>
      </c>
      <c r="H49">
        <f t="shared" si="2"/>
        <v>52000</v>
      </c>
      <c r="I49" t="str">
        <f t="shared" si="1"/>
        <v>Mar</v>
      </c>
    </row>
    <row r="50" spans="1:9" x14ac:dyDescent="0.35">
      <c r="A50" s="2">
        <v>1049</v>
      </c>
      <c r="B50" s="3">
        <v>45737</v>
      </c>
      <c r="C50" s="2" t="s">
        <v>7</v>
      </c>
      <c r="D50" s="2" t="s">
        <v>13</v>
      </c>
      <c r="E50" s="2" t="s">
        <v>12</v>
      </c>
      <c r="F50" s="2">
        <v>9</v>
      </c>
      <c r="G50" s="2">
        <v>2000</v>
      </c>
      <c r="H50">
        <f t="shared" si="2"/>
        <v>18000</v>
      </c>
      <c r="I50" t="str">
        <f t="shared" si="1"/>
        <v>Mar</v>
      </c>
    </row>
    <row r="51" spans="1:9" x14ac:dyDescent="0.35">
      <c r="A51" s="2">
        <v>1050</v>
      </c>
      <c r="B51" s="3">
        <v>45740</v>
      </c>
      <c r="C51" s="2" t="s">
        <v>10</v>
      </c>
      <c r="D51" s="2" t="s">
        <v>21</v>
      </c>
      <c r="E51" s="2" t="s">
        <v>9</v>
      </c>
      <c r="F51" s="2">
        <v>9</v>
      </c>
      <c r="G51" s="2">
        <v>120</v>
      </c>
      <c r="H51">
        <f t="shared" si="2"/>
        <v>1080</v>
      </c>
      <c r="I51" t="str">
        <f t="shared" si="1"/>
        <v>Mar</v>
      </c>
    </row>
    <row r="52" spans="1:9" x14ac:dyDescent="0.35">
      <c r="A52" s="2">
        <v>1051</v>
      </c>
      <c r="B52" s="3">
        <v>45742</v>
      </c>
      <c r="C52" s="2" t="s">
        <v>10</v>
      </c>
      <c r="D52" s="2" t="s">
        <v>8</v>
      </c>
      <c r="E52" s="2" t="s">
        <v>9</v>
      </c>
      <c r="F52" s="2">
        <v>3</v>
      </c>
      <c r="G52" s="2">
        <v>250</v>
      </c>
      <c r="H52">
        <f t="shared" si="2"/>
        <v>750</v>
      </c>
      <c r="I52" t="str">
        <f t="shared" si="1"/>
        <v>Mar</v>
      </c>
    </row>
    <row r="53" spans="1:9" x14ac:dyDescent="0.35">
      <c r="A53" s="2">
        <v>1052</v>
      </c>
      <c r="B53" s="3">
        <v>45745</v>
      </c>
      <c r="C53" s="2" t="s">
        <v>22</v>
      </c>
      <c r="D53" s="2" t="s">
        <v>13</v>
      </c>
      <c r="E53" s="2" t="s">
        <v>12</v>
      </c>
      <c r="F53" s="2">
        <v>1</v>
      </c>
      <c r="G53" s="2">
        <v>2000</v>
      </c>
      <c r="H53">
        <f t="shared" si="2"/>
        <v>2000</v>
      </c>
      <c r="I53" t="str">
        <f t="shared" si="1"/>
        <v>Mar</v>
      </c>
    </row>
    <row r="54" spans="1:9" x14ac:dyDescent="0.35">
      <c r="A54" s="2">
        <v>1053</v>
      </c>
      <c r="B54" s="3">
        <v>45747</v>
      </c>
      <c r="C54" s="2" t="s">
        <v>7</v>
      </c>
      <c r="D54" s="2" t="s">
        <v>8</v>
      </c>
      <c r="E54" s="2" t="s">
        <v>9</v>
      </c>
      <c r="F54" s="2">
        <v>9</v>
      </c>
      <c r="G54" s="2">
        <v>250</v>
      </c>
      <c r="H54">
        <f t="shared" si="2"/>
        <v>2250</v>
      </c>
      <c r="I54" t="str">
        <f t="shared" si="1"/>
        <v>Mar</v>
      </c>
    </row>
    <row r="55" spans="1:9" x14ac:dyDescent="0.35">
      <c r="A55" s="2">
        <v>1054</v>
      </c>
      <c r="B55" s="3">
        <v>45750</v>
      </c>
      <c r="C55" s="2" t="s">
        <v>14</v>
      </c>
      <c r="D55" s="2" t="s">
        <v>19</v>
      </c>
      <c r="E55" s="2" t="s">
        <v>16</v>
      </c>
      <c r="F55" s="2">
        <v>5</v>
      </c>
      <c r="G55" s="2">
        <v>6500</v>
      </c>
      <c r="H55">
        <f t="shared" si="2"/>
        <v>32500</v>
      </c>
      <c r="I55" t="str">
        <f t="shared" si="1"/>
        <v>Apr</v>
      </c>
    </row>
    <row r="56" spans="1:9" x14ac:dyDescent="0.35">
      <c r="A56" s="2">
        <v>1055</v>
      </c>
      <c r="B56" s="3">
        <v>45752</v>
      </c>
      <c r="C56" s="2" t="s">
        <v>10</v>
      </c>
      <c r="D56" s="2" t="s">
        <v>13</v>
      </c>
      <c r="E56" s="2" t="s">
        <v>12</v>
      </c>
      <c r="F56" s="2">
        <v>5</v>
      </c>
      <c r="G56" s="2">
        <v>2000</v>
      </c>
      <c r="H56">
        <f t="shared" si="2"/>
        <v>10000</v>
      </c>
      <c r="I56" t="str">
        <f t="shared" si="1"/>
        <v>Apr</v>
      </c>
    </row>
    <row r="57" spans="1:9" x14ac:dyDescent="0.35">
      <c r="A57" s="2">
        <v>1056</v>
      </c>
      <c r="B57" s="3">
        <v>45755</v>
      </c>
      <c r="C57" s="2" t="s">
        <v>7</v>
      </c>
      <c r="D57" s="2" t="s">
        <v>8</v>
      </c>
      <c r="E57" s="2" t="s">
        <v>9</v>
      </c>
      <c r="F57" s="2">
        <v>7</v>
      </c>
      <c r="G57" s="2">
        <v>250</v>
      </c>
      <c r="H57">
        <f t="shared" si="2"/>
        <v>1750</v>
      </c>
      <c r="I57" t="str">
        <f t="shared" si="1"/>
        <v>Apr</v>
      </c>
    </row>
    <row r="58" spans="1:9" x14ac:dyDescent="0.35">
      <c r="A58" s="2">
        <v>1057</v>
      </c>
      <c r="B58" s="3">
        <v>45757</v>
      </c>
      <c r="C58" s="2" t="s">
        <v>14</v>
      </c>
      <c r="D58" s="2" t="s">
        <v>8</v>
      </c>
      <c r="E58" s="2" t="s">
        <v>9</v>
      </c>
      <c r="F58" s="2">
        <v>8</v>
      </c>
      <c r="G58" s="2">
        <v>250</v>
      </c>
      <c r="H58">
        <f t="shared" si="2"/>
        <v>2000</v>
      </c>
      <c r="I58" t="str">
        <f t="shared" si="1"/>
        <v>Apr</v>
      </c>
    </row>
    <row r="59" spans="1:9" x14ac:dyDescent="0.35">
      <c r="A59" s="2">
        <v>1058</v>
      </c>
      <c r="B59" s="3">
        <v>45758</v>
      </c>
      <c r="C59" s="2" t="s">
        <v>14</v>
      </c>
      <c r="D59" s="2" t="s">
        <v>20</v>
      </c>
      <c r="E59" s="2" t="s">
        <v>12</v>
      </c>
      <c r="F59" s="2">
        <v>3</v>
      </c>
      <c r="G59" s="2">
        <v>45000</v>
      </c>
      <c r="H59">
        <f t="shared" si="2"/>
        <v>135000</v>
      </c>
      <c r="I59" t="str">
        <f t="shared" si="1"/>
        <v>Apr</v>
      </c>
    </row>
    <row r="60" spans="1:9" x14ac:dyDescent="0.35">
      <c r="A60" s="2">
        <v>1059</v>
      </c>
      <c r="B60" s="3">
        <v>45762</v>
      </c>
      <c r="C60" s="2" t="s">
        <v>7</v>
      </c>
      <c r="D60" s="2" t="s">
        <v>17</v>
      </c>
      <c r="E60" s="2" t="s">
        <v>18</v>
      </c>
      <c r="F60" s="2">
        <v>10</v>
      </c>
      <c r="G60" s="2">
        <v>1500</v>
      </c>
      <c r="H60">
        <f t="shared" si="2"/>
        <v>15000</v>
      </c>
      <c r="I60" t="str">
        <f t="shared" si="1"/>
        <v>Apr</v>
      </c>
    </row>
    <row r="61" spans="1:9" x14ac:dyDescent="0.35">
      <c r="A61" s="2">
        <v>1060</v>
      </c>
      <c r="B61" s="3">
        <v>45763</v>
      </c>
      <c r="C61" s="2" t="s">
        <v>7</v>
      </c>
      <c r="D61" s="2" t="s">
        <v>8</v>
      </c>
      <c r="E61" s="2" t="s">
        <v>9</v>
      </c>
      <c r="F61" s="2">
        <v>3</v>
      </c>
      <c r="G61" s="2">
        <v>250</v>
      </c>
      <c r="H61">
        <f t="shared" si="2"/>
        <v>750</v>
      </c>
      <c r="I61" t="str">
        <f t="shared" si="1"/>
        <v>Apr</v>
      </c>
    </row>
    <row r="62" spans="1:9" x14ac:dyDescent="0.35">
      <c r="A62" s="2">
        <v>1061</v>
      </c>
      <c r="B62" s="3">
        <v>45763</v>
      </c>
      <c r="C62" s="2" t="s">
        <v>10</v>
      </c>
      <c r="D62" s="2" t="s">
        <v>19</v>
      </c>
      <c r="E62" s="2" t="s">
        <v>16</v>
      </c>
      <c r="F62" s="2">
        <v>8</v>
      </c>
      <c r="G62" s="2">
        <v>6500</v>
      </c>
      <c r="H62">
        <f t="shared" si="2"/>
        <v>52000</v>
      </c>
      <c r="I62" t="str">
        <f t="shared" si="1"/>
        <v>Apr</v>
      </c>
    </row>
    <row r="63" spans="1:9" x14ac:dyDescent="0.35">
      <c r="A63" s="2">
        <v>1062</v>
      </c>
      <c r="B63" s="3">
        <v>45764</v>
      </c>
      <c r="C63" s="2" t="s">
        <v>22</v>
      </c>
      <c r="D63" s="2" t="s">
        <v>17</v>
      </c>
      <c r="E63" s="2" t="s">
        <v>18</v>
      </c>
      <c r="F63" s="2">
        <v>9</v>
      </c>
      <c r="G63" s="2">
        <v>1500</v>
      </c>
      <c r="H63">
        <f t="shared" si="2"/>
        <v>13500</v>
      </c>
      <c r="I63" t="str">
        <f t="shared" si="1"/>
        <v>Apr</v>
      </c>
    </row>
    <row r="64" spans="1:9" x14ac:dyDescent="0.35">
      <c r="A64" s="2">
        <v>1063</v>
      </c>
      <c r="B64" s="3">
        <v>45765</v>
      </c>
      <c r="C64" s="2" t="s">
        <v>7</v>
      </c>
      <c r="D64" s="2" t="s">
        <v>19</v>
      </c>
      <c r="E64" s="2" t="s">
        <v>16</v>
      </c>
      <c r="F64" s="2">
        <v>2</v>
      </c>
      <c r="G64" s="2">
        <v>6500</v>
      </c>
      <c r="H64">
        <f t="shared" si="2"/>
        <v>13000</v>
      </c>
      <c r="I64" t="str">
        <f t="shared" si="1"/>
        <v>Apr</v>
      </c>
    </row>
    <row r="65" spans="1:9" x14ac:dyDescent="0.35">
      <c r="A65" s="2">
        <v>1064</v>
      </c>
      <c r="B65" s="3">
        <v>45766</v>
      </c>
      <c r="C65" s="2" t="s">
        <v>22</v>
      </c>
      <c r="D65" s="2" t="s">
        <v>20</v>
      </c>
      <c r="E65" s="2" t="s">
        <v>12</v>
      </c>
      <c r="F65" s="2">
        <v>2</v>
      </c>
      <c r="G65" s="2">
        <v>45000</v>
      </c>
      <c r="H65">
        <f t="shared" si="2"/>
        <v>90000</v>
      </c>
      <c r="I65" t="str">
        <f t="shared" si="1"/>
        <v>Apr</v>
      </c>
    </row>
    <row r="66" spans="1:9" x14ac:dyDescent="0.35">
      <c r="A66" s="2">
        <v>1065</v>
      </c>
      <c r="B66" s="3">
        <v>45766</v>
      </c>
      <c r="C66" s="2" t="s">
        <v>22</v>
      </c>
      <c r="D66" s="2" t="s">
        <v>15</v>
      </c>
      <c r="E66" s="2" t="s">
        <v>16</v>
      </c>
      <c r="F66" s="2">
        <v>2</v>
      </c>
      <c r="G66" s="2">
        <v>5200</v>
      </c>
      <c r="H66">
        <f t="shared" ref="H66:H97" si="3">F66*G66</f>
        <v>10400</v>
      </c>
      <c r="I66" t="str">
        <f t="shared" si="1"/>
        <v>Apr</v>
      </c>
    </row>
    <row r="67" spans="1:9" x14ac:dyDescent="0.35">
      <c r="A67" s="2">
        <v>1066</v>
      </c>
      <c r="B67" s="3">
        <v>45772</v>
      </c>
      <c r="C67" s="2" t="s">
        <v>10</v>
      </c>
      <c r="D67" s="2" t="s">
        <v>20</v>
      </c>
      <c r="E67" s="2" t="s">
        <v>12</v>
      </c>
      <c r="F67" s="2">
        <v>3</v>
      </c>
      <c r="G67" s="2">
        <v>45000</v>
      </c>
      <c r="H67">
        <f t="shared" si="3"/>
        <v>135000</v>
      </c>
      <c r="I67" t="str">
        <f t="shared" ref="I67:I130" si="4">TEXT(B67,"mmm")</f>
        <v>Apr</v>
      </c>
    </row>
    <row r="68" spans="1:9" x14ac:dyDescent="0.35">
      <c r="A68" s="2">
        <v>1067</v>
      </c>
      <c r="B68" s="3">
        <v>45772</v>
      </c>
      <c r="C68" s="2" t="s">
        <v>22</v>
      </c>
      <c r="D68" s="2" t="s">
        <v>8</v>
      </c>
      <c r="E68" s="2" t="s">
        <v>9</v>
      </c>
      <c r="F68" s="2">
        <v>4</v>
      </c>
      <c r="G68" s="2">
        <v>250</v>
      </c>
      <c r="H68">
        <f t="shared" si="3"/>
        <v>1000</v>
      </c>
      <c r="I68" t="str">
        <f t="shared" si="4"/>
        <v>Apr</v>
      </c>
    </row>
    <row r="69" spans="1:9" x14ac:dyDescent="0.35">
      <c r="A69" s="2">
        <v>1068</v>
      </c>
      <c r="B69" s="3">
        <v>45774</v>
      </c>
      <c r="C69" s="2" t="s">
        <v>14</v>
      </c>
      <c r="D69" s="2" t="s">
        <v>17</v>
      </c>
      <c r="E69" s="2" t="s">
        <v>18</v>
      </c>
      <c r="F69" s="2">
        <v>4</v>
      </c>
      <c r="G69" s="2">
        <v>1500</v>
      </c>
      <c r="H69">
        <f t="shared" si="3"/>
        <v>6000</v>
      </c>
      <c r="I69" t="str">
        <f t="shared" si="4"/>
        <v>Apr</v>
      </c>
    </row>
    <row r="70" spans="1:9" x14ac:dyDescent="0.35">
      <c r="A70" s="2">
        <v>1069</v>
      </c>
      <c r="B70" s="3">
        <v>45776</v>
      </c>
      <c r="C70" s="2" t="s">
        <v>10</v>
      </c>
      <c r="D70" s="2" t="s">
        <v>17</v>
      </c>
      <c r="E70" s="2" t="s">
        <v>18</v>
      </c>
      <c r="F70" s="2">
        <v>8</v>
      </c>
      <c r="G70" s="2">
        <v>1500</v>
      </c>
      <c r="H70">
        <f t="shared" si="3"/>
        <v>12000</v>
      </c>
      <c r="I70" t="str">
        <f t="shared" si="4"/>
        <v>Apr</v>
      </c>
    </row>
    <row r="71" spans="1:9" x14ac:dyDescent="0.35">
      <c r="A71" s="2">
        <v>1070</v>
      </c>
      <c r="B71" s="3">
        <v>45780</v>
      </c>
      <c r="C71" s="2" t="s">
        <v>22</v>
      </c>
      <c r="D71" s="2" t="s">
        <v>21</v>
      </c>
      <c r="E71" s="2" t="s">
        <v>9</v>
      </c>
      <c r="F71" s="2">
        <v>4</v>
      </c>
      <c r="G71" s="2">
        <v>120</v>
      </c>
      <c r="H71">
        <f t="shared" si="3"/>
        <v>480</v>
      </c>
      <c r="I71" t="str">
        <f t="shared" si="4"/>
        <v>May</v>
      </c>
    </row>
    <row r="72" spans="1:9" x14ac:dyDescent="0.35">
      <c r="A72" s="2">
        <v>1071</v>
      </c>
      <c r="B72" s="3">
        <v>45783</v>
      </c>
      <c r="C72" s="2" t="s">
        <v>10</v>
      </c>
      <c r="D72" s="2" t="s">
        <v>17</v>
      </c>
      <c r="E72" s="2" t="s">
        <v>18</v>
      </c>
      <c r="F72" s="2">
        <v>2</v>
      </c>
      <c r="G72" s="2">
        <v>1500</v>
      </c>
      <c r="H72">
        <f t="shared" si="3"/>
        <v>3000</v>
      </c>
      <c r="I72" t="str">
        <f t="shared" si="4"/>
        <v>May</v>
      </c>
    </row>
    <row r="73" spans="1:9" x14ac:dyDescent="0.35">
      <c r="A73" s="2">
        <v>1072</v>
      </c>
      <c r="B73" s="3">
        <v>45785</v>
      </c>
      <c r="C73" s="2" t="s">
        <v>14</v>
      </c>
      <c r="D73" s="2" t="s">
        <v>20</v>
      </c>
      <c r="E73" s="2" t="s">
        <v>12</v>
      </c>
      <c r="F73" s="2">
        <v>1</v>
      </c>
      <c r="G73" s="2">
        <v>45000</v>
      </c>
      <c r="H73">
        <f t="shared" si="3"/>
        <v>45000</v>
      </c>
      <c r="I73" t="str">
        <f t="shared" si="4"/>
        <v>May</v>
      </c>
    </row>
    <row r="74" spans="1:9" x14ac:dyDescent="0.35">
      <c r="A74" s="2">
        <v>1073</v>
      </c>
      <c r="B74" s="3">
        <v>45785</v>
      </c>
      <c r="C74" s="2" t="s">
        <v>10</v>
      </c>
      <c r="D74" s="2" t="s">
        <v>21</v>
      </c>
      <c r="E74" s="2" t="s">
        <v>9</v>
      </c>
      <c r="F74" s="2">
        <v>7</v>
      </c>
      <c r="G74" s="2">
        <v>120</v>
      </c>
      <c r="H74">
        <f t="shared" si="3"/>
        <v>840</v>
      </c>
      <c r="I74" t="str">
        <f t="shared" si="4"/>
        <v>May</v>
      </c>
    </row>
    <row r="75" spans="1:9" x14ac:dyDescent="0.35">
      <c r="A75" s="2">
        <v>1074</v>
      </c>
      <c r="B75" s="3">
        <v>45787</v>
      </c>
      <c r="C75" s="2" t="s">
        <v>22</v>
      </c>
      <c r="D75" s="2" t="s">
        <v>11</v>
      </c>
      <c r="E75" s="2" t="s">
        <v>12</v>
      </c>
      <c r="F75" s="2">
        <v>2</v>
      </c>
      <c r="G75" s="2">
        <v>18000</v>
      </c>
      <c r="H75">
        <f t="shared" si="3"/>
        <v>36000</v>
      </c>
      <c r="I75" t="str">
        <f t="shared" si="4"/>
        <v>May</v>
      </c>
    </row>
    <row r="76" spans="1:9" x14ac:dyDescent="0.35">
      <c r="A76" s="2">
        <v>1075</v>
      </c>
      <c r="B76" s="3">
        <v>45787</v>
      </c>
      <c r="C76" s="2" t="s">
        <v>10</v>
      </c>
      <c r="D76" s="2" t="s">
        <v>8</v>
      </c>
      <c r="E76" s="2" t="s">
        <v>9</v>
      </c>
      <c r="F76" s="2">
        <v>2</v>
      </c>
      <c r="G76" s="2">
        <v>250</v>
      </c>
      <c r="H76">
        <f t="shared" si="3"/>
        <v>500</v>
      </c>
      <c r="I76" t="str">
        <f t="shared" si="4"/>
        <v>May</v>
      </c>
    </row>
    <row r="77" spans="1:9" x14ac:dyDescent="0.35">
      <c r="A77" s="2">
        <v>1076</v>
      </c>
      <c r="B77" s="3">
        <v>45788</v>
      </c>
      <c r="C77" s="2" t="s">
        <v>22</v>
      </c>
      <c r="D77" s="2" t="s">
        <v>15</v>
      </c>
      <c r="E77" s="2" t="s">
        <v>16</v>
      </c>
      <c r="F77" s="2">
        <v>7</v>
      </c>
      <c r="G77" s="2">
        <v>5200</v>
      </c>
      <c r="H77">
        <f t="shared" si="3"/>
        <v>36400</v>
      </c>
      <c r="I77" t="str">
        <f t="shared" si="4"/>
        <v>May</v>
      </c>
    </row>
    <row r="78" spans="1:9" x14ac:dyDescent="0.35">
      <c r="A78" s="2">
        <v>1077</v>
      </c>
      <c r="B78" s="3">
        <v>45790</v>
      </c>
      <c r="C78" s="2" t="s">
        <v>7</v>
      </c>
      <c r="D78" s="2" t="s">
        <v>21</v>
      </c>
      <c r="E78" s="2" t="s">
        <v>9</v>
      </c>
      <c r="F78" s="2">
        <v>3</v>
      </c>
      <c r="G78" s="2">
        <v>120</v>
      </c>
      <c r="H78">
        <f t="shared" si="3"/>
        <v>360</v>
      </c>
      <c r="I78" t="str">
        <f t="shared" si="4"/>
        <v>May</v>
      </c>
    </row>
    <row r="79" spans="1:9" x14ac:dyDescent="0.35">
      <c r="A79" s="2">
        <v>1078</v>
      </c>
      <c r="B79" s="3">
        <v>45791</v>
      </c>
      <c r="C79" s="2" t="s">
        <v>22</v>
      </c>
      <c r="D79" s="2" t="s">
        <v>11</v>
      </c>
      <c r="E79" s="2" t="s">
        <v>12</v>
      </c>
      <c r="F79" s="2">
        <v>3</v>
      </c>
      <c r="G79" s="2">
        <v>18000</v>
      </c>
      <c r="H79">
        <f t="shared" si="3"/>
        <v>54000</v>
      </c>
      <c r="I79" t="str">
        <f t="shared" si="4"/>
        <v>May</v>
      </c>
    </row>
    <row r="80" spans="1:9" x14ac:dyDescent="0.35">
      <c r="A80" s="2">
        <v>1079</v>
      </c>
      <c r="B80" s="3">
        <v>45793</v>
      </c>
      <c r="C80" s="2" t="s">
        <v>22</v>
      </c>
      <c r="D80" s="2" t="s">
        <v>15</v>
      </c>
      <c r="E80" s="2" t="s">
        <v>16</v>
      </c>
      <c r="F80" s="2">
        <v>1</v>
      </c>
      <c r="G80" s="2">
        <v>5200</v>
      </c>
      <c r="H80">
        <f t="shared" si="3"/>
        <v>5200</v>
      </c>
      <c r="I80" t="str">
        <f t="shared" si="4"/>
        <v>May</v>
      </c>
    </row>
    <row r="81" spans="1:9" x14ac:dyDescent="0.35">
      <c r="A81" s="2">
        <v>1080</v>
      </c>
      <c r="B81" s="3">
        <v>45794</v>
      </c>
      <c r="C81" s="2" t="s">
        <v>14</v>
      </c>
      <c r="D81" s="2" t="s">
        <v>21</v>
      </c>
      <c r="E81" s="2" t="s">
        <v>9</v>
      </c>
      <c r="F81" s="2">
        <v>9</v>
      </c>
      <c r="G81" s="2">
        <v>120</v>
      </c>
      <c r="H81">
        <f t="shared" si="3"/>
        <v>1080</v>
      </c>
      <c r="I81" t="str">
        <f t="shared" si="4"/>
        <v>May</v>
      </c>
    </row>
    <row r="82" spans="1:9" x14ac:dyDescent="0.35">
      <c r="A82" s="2">
        <v>1081</v>
      </c>
      <c r="B82" s="3">
        <v>45795</v>
      </c>
      <c r="C82" s="2" t="s">
        <v>7</v>
      </c>
      <c r="D82" s="2" t="s">
        <v>20</v>
      </c>
      <c r="E82" s="2" t="s">
        <v>12</v>
      </c>
      <c r="F82" s="2">
        <v>3</v>
      </c>
      <c r="G82" s="2">
        <v>45000</v>
      </c>
      <c r="H82">
        <f t="shared" si="3"/>
        <v>135000</v>
      </c>
      <c r="I82" t="str">
        <f t="shared" si="4"/>
        <v>May</v>
      </c>
    </row>
    <row r="83" spans="1:9" x14ac:dyDescent="0.35">
      <c r="A83" s="2">
        <v>1082</v>
      </c>
      <c r="B83" s="3">
        <v>45795</v>
      </c>
      <c r="C83" s="2" t="s">
        <v>22</v>
      </c>
      <c r="D83" s="2" t="s">
        <v>13</v>
      </c>
      <c r="E83" s="2" t="s">
        <v>12</v>
      </c>
      <c r="F83" s="2">
        <v>1</v>
      </c>
      <c r="G83" s="2">
        <v>2000</v>
      </c>
      <c r="H83">
        <f t="shared" si="3"/>
        <v>2000</v>
      </c>
      <c r="I83" t="str">
        <f t="shared" si="4"/>
        <v>May</v>
      </c>
    </row>
    <row r="84" spans="1:9" x14ac:dyDescent="0.35">
      <c r="A84" s="2">
        <v>1083</v>
      </c>
      <c r="B84" s="3">
        <v>45795</v>
      </c>
      <c r="C84" s="2" t="s">
        <v>22</v>
      </c>
      <c r="D84" s="2" t="s">
        <v>11</v>
      </c>
      <c r="E84" s="2" t="s">
        <v>12</v>
      </c>
      <c r="F84" s="2">
        <v>3</v>
      </c>
      <c r="G84" s="2">
        <v>18000</v>
      </c>
      <c r="H84">
        <f t="shared" si="3"/>
        <v>54000</v>
      </c>
      <c r="I84" t="str">
        <f t="shared" si="4"/>
        <v>May</v>
      </c>
    </row>
    <row r="85" spans="1:9" x14ac:dyDescent="0.35">
      <c r="A85" s="2">
        <v>1084</v>
      </c>
      <c r="B85" s="3">
        <v>45796</v>
      </c>
      <c r="C85" s="2" t="s">
        <v>14</v>
      </c>
      <c r="D85" s="2" t="s">
        <v>13</v>
      </c>
      <c r="E85" s="2" t="s">
        <v>12</v>
      </c>
      <c r="F85" s="2">
        <v>7</v>
      </c>
      <c r="G85" s="2">
        <v>2000</v>
      </c>
      <c r="H85">
        <f t="shared" si="3"/>
        <v>14000</v>
      </c>
      <c r="I85" t="str">
        <f t="shared" si="4"/>
        <v>May</v>
      </c>
    </row>
    <row r="86" spans="1:9" x14ac:dyDescent="0.35">
      <c r="A86" s="2">
        <v>1085</v>
      </c>
      <c r="B86" s="3">
        <v>45798</v>
      </c>
      <c r="C86" s="2" t="s">
        <v>7</v>
      </c>
      <c r="D86" s="2" t="s">
        <v>20</v>
      </c>
      <c r="E86" s="2" t="s">
        <v>12</v>
      </c>
      <c r="F86" s="2">
        <v>2</v>
      </c>
      <c r="G86" s="2">
        <v>45000</v>
      </c>
      <c r="H86">
        <f t="shared" si="3"/>
        <v>90000</v>
      </c>
      <c r="I86" t="str">
        <f t="shared" si="4"/>
        <v>May</v>
      </c>
    </row>
    <row r="87" spans="1:9" x14ac:dyDescent="0.35">
      <c r="A87" s="2">
        <v>1086</v>
      </c>
      <c r="B87" s="3">
        <v>45799</v>
      </c>
      <c r="C87" s="2" t="s">
        <v>10</v>
      </c>
      <c r="D87" s="2" t="s">
        <v>20</v>
      </c>
      <c r="E87" s="2" t="s">
        <v>12</v>
      </c>
      <c r="F87" s="2">
        <v>1</v>
      </c>
      <c r="G87" s="2">
        <v>45000</v>
      </c>
      <c r="H87">
        <f t="shared" si="3"/>
        <v>45000</v>
      </c>
      <c r="I87" t="str">
        <f t="shared" si="4"/>
        <v>May</v>
      </c>
    </row>
    <row r="88" spans="1:9" x14ac:dyDescent="0.35">
      <c r="A88" s="2">
        <v>1087</v>
      </c>
      <c r="B88" s="3">
        <v>45805</v>
      </c>
      <c r="C88" s="2" t="s">
        <v>10</v>
      </c>
      <c r="D88" s="2" t="s">
        <v>11</v>
      </c>
      <c r="E88" s="2" t="s">
        <v>12</v>
      </c>
      <c r="F88" s="2">
        <v>1</v>
      </c>
      <c r="G88" s="2">
        <v>18000</v>
      </c>
      <c r="H88">
        <f t="shared" si="3"/>
        <v>18000</v>
      </c>
      <c r="I88" t="str">
        <f t="shared" si="4"/>
        <v>May</v>
      </c>
    </row>
    <row r="89" spans="1:9" x14ac:dyDescent="0.35">
      <c r="A89" s="2">
        <v>1088</v>
      </c>
      <c r="B89" s="3">
        <v>45806</v>
      </c>
      <c r="C89" s="2" t="s">
        <v>7</v>
      </c>
      <c r="D89" s="2" t="s">
        <v>21</v>
      </c>
      <c r="E89" s="2" t="s">
        <v>9</v>
      </c>
      <c r="F89" s="2">
        <v>3</v>
      </c>
      <c r="G89" s="2">
        <v>120</v>
      </c>
      <c r="H89">
        <f t="shared" si="3"/>
        <v>360</v>
      </c>
      <c r="I89" t="str">
        <f t="shared" si="4"/>
        <v>May</v>
      </c>
    </row>
    <row r="90" spans="1:9" x14ac:dyDescent="0.35">
      <c r="A90" s="2">
        <v>1089</v>
      </c>
      <c r="B90" s="3">
        <v>45807</v>
      </c>
      <c r="C90" s="2" t="s">
        <v>14</v>
      </c>
      <c r="D90" s="2" t="s">
        <v>19</v>
      </c>
      <c r="E90" s="2" t="s">
        <v>16</v>
      </c>
      <c r="F90" s="2">
        <v>10</v>
      </c>
      <c r="G90" s="2">
        <v>6500</v>
      </c>
      <c r="H90">
        <f t="shared" si="3"/>
        <v>65000</v>
      </c>
      <c r="I90" t="str">
        <f t="shared" si="4"/>
        <v>May</v>
      </c>
    </row>
    <row r="91" spans="1:9" x14ac:dyDescent="0.35">
      <c r="A91" s="2">
        <v>1090</v>
      </c>
      <c r="B91" s="3">
        <v>45812</v>
      </c>
      <c r="C91" s="2" t="s">
        <v>10</v>
      </c>
      <c r="D91" s="2" t="s">
        <v>17</v>
      </c>
      <c r="E91" s="2" t="s">
        <v>18</v>
      </c>
      <c r="F91" s="2">
        <v>9</v>
      </c>
      <c r="G91" s="2">
        <v>1500</v>
      </c>
      <c r="H91">
        <f t="shared" si="3"/>
        <v>13500</v>
      </c>
      <c r="I91" t="str">
        <f t="shared" si="4"/>
        <v>Jun</v>
      </c>
    </row>
    <row r="92" spans="1:9" x14ac:dyDescent="0.35">
      <c r="A92" s="2">
        <v>1092</v>
      </c>
      <c r="B92" s="3">
        <v>45818</v>
      </c>
      <c r="C92" s="2" t="s">
        <v>10</v>
      </c>
      <c r="D92" s="2" t="s">
        <v>17</v>
      </c>
      <c r="E92" s="2" t="s">
        <v>18</v>
      </c>
      <c r="F92" s="2">
        <v>10</v>
      </c>
      <c r="G92" s="2">
        <v>1500</v>
      </c>
      <c r="H92">
        <f t="shared" si="3"/>
        <v>15000</v>
      </c>
      <c r="I92" t="str">
        <f t="shared" si="4"/>
        <v>Jun</v>
      </c>
    </row>
    <row r="93" spans="1:9" x14ac:dyDescent="0.35">
      <c r="A93" s="2">
        <v>1093</v>
      </c>
      <c r="B93" s="3">
        <v>45819</v>
      </c>
      <c r="C93" s="2" t="s">
        <v>7</v>
      </c>
      <c r="D93" s="2" t="s">
        <v>11</v>
      </c>
      <c r="E93" s="2" t="s">
        <v>12</v>
      </c>
      <c r="F93" s="2">
        <v>2</v>
      </c>
      <c r="G93" s="2">
        <v>18000</v>
      </c>
      <c r="H93">
        <f t="shared" si="3"/>
        <v>36000</v>
      </c>
      <c r="I93" t="str">
        <f t="shared" si="4"/>
        <v>Jun</v>
      </c>
    </row>
    <row r="94" spans="1:9" x14ac:dyDescent="0.35">
      <c r="A94" s="2">
        <v>1094</v>
      </c>
      <c r="B94" s="3">
        <v>45821</v>
      </c>
      <c r="C94" s="2" t="s">
        <v>14</v>
      </c>
      <c r="D94" s="2" t="s">
        <v>11</v>
      </c>
      <c r="E94" s="2" t="s">
        <v>12</v>
      </c>
      <c r="F94" s="2">
        <v>3</v>
      </c>
      <c r="G94" s="2">
        <v>18000</v>
      </c>
      <c r="H94">
        <f t="shared" si="3"/>
        <v>54000</v>
      </c>
      <c r="I94" t="str">
        <f t="shared" si="4"/>
        <v>Jun</v>
      </c>
    </row>
    <row r="95" spans="1:9" x14ac:dyDescent="0.35">
      <c r="A95" s="2">
        <v>1095</v>
      </c>
      <c r="B95" s="3">
        <v>45821</v>
      </c>
      <c r="C95" s="2" t="s">
        <v>14</v>
      </c>
      <c r="D95" s="2" t="s">
        <v>19</v>
      </c>
      <c r="E95" s="2" t="s">
        <v>16</v>
      </c>
      <c r="F95" s="2">
        <v>6</v>
      </c>
      <c r="G95" s="2">
        <v>6500</v>
      </c>
      <c r="H95">
        <f t="shared" si="3"/>
        <v>39000</v>
      </c>
      <c r="I95" t="str">
        <f t="shared" si="4"/>
        <v>Jun</v>
      </c>
    </row>
    <row r="96" spans="1:9" x14ac:dyDescent="0.35">
      <c r="A96" s="2">
        <v>1096</v>
      </c>
      <c r="B96" s="3">
        <v>45823</v>
      </c>
      <c r="C96" s="2" t="s">
        <v>7</v>
      </c>
      <c r="D96" s="2" t="s">
        <v>13</v>
      </c>
      <c r="E96" s="2" t="s">
        <v>12</v>
      </c>
      <c r="F96" s="2">
        <v>7</v>
      </c>
      <c r="G96" s="2">
        <v>2000</v>
      </c>
      <c r="H96">
        <f t="shared" si="3"/>
        <v>14000</v>
      </c>
      <c r="I96" t="str">
        <f t="shared" si="4"/>
        <v>Jun</v>
      </c>
    </row>
    <row r="97" spans="1:9" x14ac:dyDescent="0.35">
      <c r="A97" s="2">
        <v>1097</v>
      </c>
      <c r="B97" s="3">
        <v>45824</v>
      </c>
      <c r="C97" s="2" t="s">
        <v>10</v>
      </c>
      <c r="D97" s="2" t="s">
        <v>19</v>
      </c>
      <c r="E97" s="2" t="s">
        <v>16</v>
      </c>
      <c r="F97" s="2">
        <v>5</v>
      </c>
      <c r="G97" s="2">
        <v>6500</v>
      </c>
      <c r="H97">
        <f t="shared" si="3"/>
        <v>32500</v>
      </c>
      <c r="I97" t="str">
        <f t="shared" si="4"/>
        <v>Jun</v>
      </c>
    </row>
    <row r="98" spans="1:9" x14ac:dyDescent="0.35">
      <c r="A98" s="2">
        <v>1098</v>
      </c>
      <c r="B98" s="3">
        <v>45824</v>
      </c>
      <c r="C98" s="2" t="s">
        <v>7</v>
      </c>
      <c r="D98" s="2" t="s">
        <v>8</v>
      </c>
      <c r="E98" s="2" t="s">
        <v>9</v>
      </c>
      <c r="F98" s="2">
        <v>7</v>
      </c>
      <c r="G98" s="2">
        <v>250</v>
      </c>
      <c r="H98">
        <f t="shared" ref="H98:H129" si="5">F98*G98</f>
        <v>1750</v>
      </c>
      <c r="I98" t="str">
        <f t="shared" si="4"/>
        <v>Jun</v>
      </c>
    </row>
    <row r="99" spans="1:9" x14ac:dyDescent="0.35">
      <c r="A99" s="2">
        <v>1099</v>
      </c>
      <c r="B99" s="3">
        <v>45827</v>
      </c>
      <c r="C99" s="2" t="s">
        <v>22</v>
      </c>
      <c r="D99" s="2" t="s">
        <v>15</v>
      </c>
      <c r="E99" s="2" t="s">
        <v>16</v>
      </c>
      <c r="F99" s="2">
        <v>5</v>
      </c>
      <c r="G99" s="2">
        <v>5200</v>
      </c>
      <c r="H99">
        <f t="shared" si="5"/>
        <v>26000</v>
      </c>
      <c r="I99" t="str">
        <f t="shared" si="4"/>
        <v>Jun</v>
      </c>
    </row>
    <row r="100" spans="1:9" x14ac:dyDescent="0.35">
      <c r="A100" s="2">
        <v>1100</v>
      </c>
      <c r="B100" s="3">
        <v>45831</v>
      </c>
      <c r="C100" s="2" t="s">
        <v>14</v>
      </c>
      <c r="D100" s="2" t="s">
        <v>21</v>
      </c>
      <c r="E100" s="2" t="s">
        <v>9</v>
      </c>
      <c r="F100" s="2">
        <v>4</v>
      </c>
      <c r="G100" s="2">
        <v>120</v>
      </c>
      <c r="H100">
        <f t="shared" si="5"/>
        <v>480</v>
      </c>
      <c r="I100" t="str">
        <f t="shared" si="4"/>
        <v>Jun</v>
      </c>
    </row>
    <row r="101" spans="1:9" x14ac:dyDescent="0.35">
      <c r="A101" s="2">
        <v>1101</v>
      </c>
      <c r="B101" s="3">
        <v>45833</v>
      </c>
      <c r="C101" s="2" t="s">
        <v>10</v>
      </c>
      <c r="D101" s="2" t="s">
        <v>19</v>
      </c>
      <c r="E101" s="2" t="s">
        <v>16</v>
      </c>
      <c r="F101" s="2">
        <v>3</v>
      </c>
      <c r="G101" s="2">
        <v>6500</v>
      </c>
      <c r="H101">
        <f t="shared" si="5"/>
        <v>19500</v>
      </c>
      <c r="I101" t="str">
        <f t="shared" si="4"/>
        <v>Jun</v>
      </c>
    </row>
    <row r="102" spans="1:9" x14ac:dyDescent="0.35">
      <c r="A102" s="2">
        <v>1102</v>
      </c>
      <c r="B102" s="3">
        <v>45835</v>
      </c>
      <c r="C102" s="2" t="s">
        <v>7</v>
      </c>
      <c r="D102" s="2" t="s">
        <v>8</v>
      </c>
      <c r="E102" s="2" t="s">
        <v>9</v>
      </c>
      <c r="F102" s="2">
        <v>8</v>
      </c>
      <c r="G102" s="2">
        <v>250</v>
      </c>
      <c r="H102">
        <f t="shared" si="5"/>
        <v>2000</v>
      </c>
      <c r="I102" t="str">
        <f t="shared" si="4"/>
        <v>Jun</v>
      </c>
    </row>
    <row r="103" spans="1:9" x14ac:dyDescent="0.35">
      <c r="A103" s="2">
        <v>1103</v>
      </c>
      <c r="B103" s="3">
        <v>45835</v>
      </c>
      <c r="C103" s="2" t="s">
        <v>7</v>
      </c>
      <c r="D103" s="2" t="s">
        <v>20</v>
      </c>
      <c r="E103" s="2" t="s">
        <v>12</v>
      </c>
      <c r="F103" s="2">
        <v>1</v>
      </c>
      <c r="G103" s="2">
        <v>45000</v>
      </c>
      <c r="H103">
        <f t="shared" si="5"/>
        <v>45000</v>
      </c>
      <c r="I103" t="str">
        <f t="shared" si="4"/>
        <v>Jun</v>
      </c>
    </row>
    <row r="104" spans="1:9" x14ac:dyDescent="0.35">
      <c r="A104" s="2">
        <v>1104</v>
      </c>
      <c r="B104" s="3">
        <v>45839</v>
      </c>
      <c r="C104" s="2" t="s">
        <v>7</v>
      </c>
      <c r="D104" s="2" t="s">
        <v>13</v>
      </c>
      <c r="E104" s="2" t="s">
        <v>12</v>
      </c>
      <c r="F104" s="2">
        <v>10</v>
      </c>
      <c r="G104" s="2">
        <v>2000</v>
      </c>
      <c r="H104">
        <f t="shared" si="5"/>
        <v>20000</v>
      </c>
      <c r="I104" t="str">
        <f t="shared" si="4"/>
        <v>Jul</v>
      </c>
    </row>
    <row r="105" spans="1:9" x14ac:dyDescent="0.35">
      <c r="A105" s="2">
        <v>1105</v>
      </c>
      <c r="B105" s="3">
        <v>45839</v>
      </c>
      <c r="C105" s="2" t="s">
        <v>10</v>
      </c>
      <c r="D105" s="2" t="s">
        <v>17</v>
      </c>
      <c r="E105" s="2" t="s">
        <v>18</v>
      </c>
      <c r="F105" s="2">
        <v>10</v>
      </c>
      <c r="G105" s="2">
        <v>1500</v>
      </c>
      <c r="H105">
        <f t="shared" si="5"/>
        <v>15000</v>
      </c>
      <c r="I105" t="str">
        <f t="shared" si="4"/>
        <v>Jul</v>
      </c>
    </row>
    <row r="106" spans="1:9" x14ac:dyDescent="0.35">
      <c r="A106" s="2">
        <v>1106</v>
      </c>
      <c r="B106" s="3">
        <v>45843</v>
      </c>
      <c r="C106" s="2" t="s">
        <v>22</v>
      </c>
      <c r="D106" s="2" t="s">
        <v>15</v>
      </c>
      <c r="E106" s="2" t="s">
        <v>16</v>
      </c>
      <c r="F106" s="2">
        <v>4</v>
      </c>
      <c r="G106" s="2">
        <v>5200</v>
      </c>
      <c r="H106">
        <f t="shared" si="5"/>
        <v>20800</v>
      </c>
      <c r="I106" t="str">
        <f t="shared" si="4"/>
        <v>Jul</v>
      </c>
    </row>
    <row r="107" spans="1:9" x14ac:dyDescent="0.35">
      <c r="A107" s="2">
        <v>1107</v>
      </c>
      <c r="B107" s="3">
        <v>45844</v>
      </c>
      <c r="C107" s="2" t="s">
        <v>22</v>
      </c>
      <c r="D107" s="2" t="s">
        <v>20</v>
      </c>
      <c r="E107" s="2" t="s">
        <v>12</v>
      </c>
      <c r="F107" s="2">
        <v>1</v>
      </c>
      <c r="G107" s="2">
        <v>45000</v>
      </c>
      <c r="H107">
        <f t="shared" si="5"/>
        <v>45000</v>
      </c>
      <c r="I107" t="str">
        <f t="shared" si="4"/>
        <v>Jul</v>
      </c>
    </row>
    <row r="108" spans="1:9" x14ac:dyDescent="0.35">
      <c r="A108" s="2">
        <v>1108</v>
      </c>
      <c r="B108" s="3">
        <v>45844</v>
      </c>
      <c r="C108" s="2" t="s">
        <v>7</v>
      </c>
      <c r="D108" s="2" t="s">
        <v>11</v>
      </c>
      <c r="E108" s="2" t="s">
        <v>12</v>
      </c>
      <c r="F108" s="2">
        <v>1</v>
      </c>
      <c r="G108" s="2">
        <v>18000</v>
      </c>
      <c r="H108">
        <f t="shared" si="5"/>
        <v>18000</v>
      </c>
      <c r="I108" t="str">
        <f t="shared" si="4"/>
        <v>Jul</v>
      </c>
    </row>
    <row r="109" spans="1:9" x14ac:dyDescent="0.35">
      <c r="A109" s="2">
        <v>1109</v>
      </c>
      <c r="B109" s="3">
        <v>45850</v>
      </c>
      <c r="C109" s="2" t="s">
        <v>7</v>
      </c>
      <c r="D109" s="2" t="s">
        <v>15</v>
      </c>
      <c r="E109" s="2" t="s">
        <v>16</v>
      </c>
      <c r="F109" s="2">
        <v>6</v>
      </c>
      <c r="G109" s="2">
        <v>5200</v>
      </c>
      <c r="H109">
        <f t="shared" si="5"/>
        <v>31200</v>
      </c>
      <c r="I109" t="str">
        <f t="shared" si="4"/>
        <v>Jul</v>
      </c>
    </row>
    <row r="110" spans="1:9" x14ac:dyDescent="0.35">
      <c r="A110" s="2">
        <v>1110</v>
      </c>
      <c r="B110" s="3">
        <v>45853</v>
      </c>
      <c r="C110" s="2" t="s">
        <v>14</v>
      </c>
      <c r="D110" s="2" t="s">
        <v>11</v>
      </c>
      <c r="E110" s="2" t="s">
        <v>12</v>
      </c>
      <c r="F110" s="2">
        <v>2</v>
      </c>
      <c r="G110" s="2">
        <v>18000</v>
      </c>
      <c r="H110">
        <f t="shared" si="5"/>
        <v>36000</v>
      </c>
      <c r="I110" t="str">
        <f t="shared" si="4"/>
        <v>Jul</v>
      </c>
    </row>
    <row r="111" spans="1:9" x14ac:dyDescent="0.35">
      <c r="A111" s="2">
        <v>1111</v>
      </c>
      <c r="B111" s="3">
        <v>45854</v>
      </c>
      <c r="C111" s="2" t="s">
        <v>22</v>
      </c>
      <c r="D111" s="2" t="s">
        <v>21</v>
      </c>
      <c r="E111" s="2" t="s">
        <v>9</v>
      </c>
      <c r="F111" s="2">
        <v>9</v>
      </c>
      <c r="G111" s="2">
        <v>120</v>
      </c>
      <c r="H111">
        <f t="shared" si="5"/>
        <v>1080</v>
      </c>
      <c r="I111" t="str">
        <f t="shared" si="4"/>
        <v>Jul</v>
      </c>
    </row>
    <row r="112" spans="1:9" x14ac:dyDescent="0.35">
      <c r="A112" s="2">
        <v>1112</v>
      </c>
      <c r="B112" s="3">
        <v>45856</v>
      </c>
      <c r="C112" s="2" t="s">
        <v>22</v>
      </c>
      <c r="D112" s="2" t="s">
        <v>19</v>
      </c>
      <c r="E112" s="2" t="s">
        <v>16</v>
      </c>
      <c r="F112" s="2">
        <v>8</v>
      </c>
      <c r="G112" s="2">
        <v>6500</v>
      </c>
      <c r="H112">
        <f t="shared" si="5"/>
        <v>52000</v>
      </c>
      <c r="I112" t="str">
        <f t="shared" si="4"/>
        <v>Jul</v>
      </c>
    </row>
    <row r="113" spans="1:9" x14ac:dyDescent="0.35">
      <c r="A113" s="2">
        <v>1113</v>
      </c>
      <c r="B113" s="3">
        <v>45857</v>
      </c>
      <c r="C113" s="2" t="s">
        <v>10</v>
      </c>
      <c r="D113" s="2" t="s">
        <v>11</v>
      </c>
      <c r="E113" s="2" t="s">
        <v>12</v>
      </c>
      <c r="F113" s="2">
        <v>2</v>
      </c>
      <c r="G113" s="2">
        <v>18000</v>
      </c>
      <c r="H113">
        <f t="shared" si="5"/>
        <v>36000</v>
      </c>
      <c r="I113" t="str">
        <f t="shared" si="4"/>
        <v>Jul</v>
      </c>
    </row>
    <row r="114" spans="1:9" x14ac:dyDescent="0.35">
      <c r="A114" s="2">
        <v>1114</v>
      </c>
      <c r="B114" s="3">
        <v>45858</v>
      </c>
      <c r="C114" s="2" t="s">
        <v>7</v>
      </c>
      <c r="D114" s="2" t="s">
        <v>17</v>
      </c>
      <c r="E114" s="2" t="s">
        <v>18</v>
      </c>
      <c r="F114" s="2">
        <v>6</v>
      </c>
      <c r="G114" s="2">
        <v>1500</v>
      </c>
      <c r="H114">
        <f t="shared" si="5"/>
        <v>9000</v>
      </c>
      <c r="I114" t="str">
        <f t="shared" si="4"/>
        <v>Jul</v>
      </c>
    </row>
    <row r="115" spans="1:9" x14ac:dyDescent="0.35">
      <c r="A115" s="2">
        <v>1115</v>
      </c>
      <c r="B115" s="3">
        <v>45859</v>
      </c>
      <c r="C115" s="2" t="s">
        <v>10</v>
      </c>
      <c r="D115" s="2" t="s">
        <v>11</v>
      </c>
      <c r="E115" s="2" t="s">
        <v>12</v>
      </c>
      <c r="F115" s="2">
        <v>2</v>
      </c>
      <c r="G115" s="2">
        <v>18000</v>
      </c>
      <c r="H115">
        <f t="shared" si="5"/>
        <v>36000</v>
      </c>
      <c r="I115" t="str">
        <f t="shared" si="4"/>
        <v>Jul</v>
      </c>
    </row>
    <row r="116" spans="1:9" x14ac:dyDescent="0.35">
      <c r="A116" s="2">
        <v>1116</v>
      </c>
      <c r="B116" s="3">
        <v>45859</v>
      </c>
      <c r="C116" s="2" t="s">
        <v>14</v>
      </c>
      <c r="D116" s="2" t="s">
        <v>20</v>
      </c>
      <c r="E116" s="2" t="s">
        <v>12</v>
      </c>
      <c r="F116" s="2">
        <v>2</v>
      </c>
      <c r="G116" s="2">
        <v>45000</v>
      </c>
      <c r="H116">
        <f t="shared" si="5"/>
        <v>90000</v>
      </c>
      <c r="I116" t="str">
        <f t="shared" si="4"/>
        <v>Jul</v>
      </c>
    </row>
    <row r="117" spans="1:9" x14ac:dyDescent="0.35">
      <c r="A117" s="2">
        <v>1117</v>
      </c>
      <c r="B117" s="3">
        <v>45861</v>
      </c>
      <c r="C117" s="2" t="s">
        <v>22</v>
      </c>
      <c r="D117" s="2" t="s">
        <v>17</v>
      </c>
      <c r="E117" s="2" t="s">
        <v>18</v>
      </c>
      <c r="F117" s="2">
        <v>3</v>
      </c>
      <c r="G117" s="2">
        <v>1500</v>
      </c>
      <c r="H117">
        <f t="shared" si="5"/>
        <v>4500</v>
      </c>
      <c r="I117" t="str">
        <f t="shared" si="4"/>
        <v>Jul</v>
      </c>
    </row>
    <row r="118" spans="1:9" x14ac:dyDescent="0.35">
      <c r="A118" s="2">
        <v>1118</v>
      </c>
      <c r="B118" s="3">
        <v>45863</v>
      </c>
      <c r="C118" s="2" t="s">
        <v>10</v>
      </c>
      <c r="D118" s="2" t="s">
        <v>15</v>
      </c>
      <c r="E118" s="2" t="s">
        <v>16</v>
      </c>
      <c r="F118" s="2">
        <v>3</v>
      </c>
      <c r="G118" s="2">
        <v>5200</v>
      </c>
      <c r="H118">
        <f t="shared" si="5"/>
        <v>15600</v>
      </c>
      <c r="I118" t="str">
        <f t="shared" si="4"/>
        <v>Jul</v>
      </c>
    </row>
    <row r="119" spans="1:9" x14ac:dyDescent="0.35">
      <c r="A119" s="2">
        <v>1119</v>
      </c>
      <c r="B119" s="3">
        <v>45865</v>
      </c>
      <c r="C119" s="2" t="s">
        <v>10</v>
      </c>
      <c r="D119" s="2" t="s">
        <v>13</v>
      </c>
      <c r="E119" s="2" t="s">
        <v>12</v>
      </c>
      <c r="F119" s="2">
        <v>9</v>
      </c>
      <c r="G119" s="2">
        <v>2000</v>
      </c>
      <c r="H119">
        <f t="shared" si="5"/>
        <v>18000</v>
      </c>
      <c r="I119" t="str">
        <f t="shared" si="4"/>
        <v>Jul</v>
      </c>
    </row>
    <row r="120" spans="1:9" x14ac:dyDescent="0.35">
      <c r="A120" s="2">
        <v>1120</v>
      </c>
      <c r="B120" s="3">
        <v>45870</v>
      </c>
      <c r="C120" s="2" t="s">
        <v>14</v>
      </c>
      <c r="D120" s="2" t="s">
        <v>8</v>
      </c>
      <c r="E120" s="2" t="s">
        <v>9</v>
      </c>
      <c r="F120" s="2">
        <v>5</v>
      </c>
      <c r="G120" s="2">
        <v>250</v>
      </c>
      <c r="H120">
        <f t="shared" si="5"/>
        <v>1250</v>
      </c>
      <c r="I120" t="str">
        <f t="shared" si="4"/>
        <v>Aug</v>
      </c>
    </row>
    <row r="121" spans="1:9" x14ac:dyDescent="0.35">
      <c r="A121" s="2">
        <v>1121</v>
      </c>
      <c r="B121" s="3">
        <v>45873</v>
      </c>
      <c r="C121" s="2" t="s">
        <v>7</v>
      </c>
      <c r="D121" s="2" t="s">
        <v>20</v>
      </c>
      <c r="E121" s="2" t="s">
        <v>12</v>
      </c>
      <c r="F121" s="2">
        <v>3</v>
      </c>
      <c r="G121" s="2">
        <v>45000</v>
      </c>
      <c r="H121">
        <f t="shared" si="5"/>
        <v>135000</v>
      </c>
      <c r="I121" t="str">
        <f t="shared" si="4"/>
        <v>Aug</v>
      </c>
    </row>
    <row r="122" spans="1:9" x14ac:dyDescent="0.35">
      <c r="A122" s="2">
        <v>1122</v>
      </c>
      <c r="B122" s="3">
        <v>45879</v>
      </c>
      <c r="C122" s="2" t="s">
        <v>22</v>
      </c>
      <c r="D122" s="2" t="s">
        <v>15</v>
      </c>
      <c r="E122" s="2" t="s">
        <v>16</v>
      </c>
      <c r="F122" s="2">
        <v>1</v>
      </c>
      <c r="G122" s="2">
        <v>5200</v>
      </c>
      <c r="H122">
        <f t="shared" si="5"/>
        <v>5200</v>
      </c>
      <c r="I122" t="str">
        <f t="shared" si="4"/>
        <v>Aug</v>
      </c>
    </row>
    <row r="123" spans="1:9" x14ac:dyDescent="0.35">
      <c r="A123" s="2">
        <v>1123</v>
      </c>
      <c r="B123" s="3">
        <v>45880</v>
      </c>
      <c r="C123" s="2" t="s">
        <v>22</v>
      </c>
      <c r="D123" s="2" t="s">
        <v>21</v>
      </c>
      <c r="E123" s="2" t="s">
        <v>9</v>
      </c>
      <c r="F123" s="2">
        <v>2</v>
      </c>
      <c r="G123" s="2">
        <v>120</v>
      </c>
      <c r="H123">
        <f t="shared" si="5"/>
        <v>240</v>
      </c>
      <c r="I123" t="str">
        <f t="shared" si="4"/>
        <v>Aug</v>
      </c>
    </row>
    <row r="124" spans="1:9" x14ac:dyDescent="0.35">
      <c r="A124" s="2">
        <v>1124</v>
      </c>
      <c r="B124" s="3">
        <v>45880</v>
      </c>
      <c r="C124" s="2" t="s">
        <v>10</v>
      </c>
      <c r="D124" s="2" t="s">
        <v>8</v>
      </c>
      <c r="E124" s="2" t="s">
        <v>9</v>
      </c>
      <c r="F124" s="2">
        <v>2</v>
      </c>
      <c r="G124" s="2">
        <v>250</v>
      </c>
      <c r="H124">
        <f t="shared" si="5"/>
        <v>500</v>
      </c>
      <c r="I124" t="str">
        <f t="shared" si="4"/>
        <v>Aug</v>
      </c>
    </row>
    <row r="125" spans="1:9" x14ac:dyDescent="0.35">
      <c r="A125" s="2">
        <v>1125</v>
      </c>
      <c r="B125" s="3">
        <v>45883</v>
      </c>
      <c r="C125" s="2" t="s">
        <v>14</v>
      </c>
      <c r="D125" s="2" t="s">
        <v>13</v>
      </c>
      <c r="E125" s="2" t="s">
        <v>12</v>
      </c>
      <c r="F125" s="2">
        <v>2</v>
      </c>
      <c r="G125" s="2">
        <v>2000</v>
      </c>
      <c r="H125">
        <f t="shared" si="5"/>
        <v>4000</v>
      </c>
      <c r="I125" t="str">
        <f t="shared" si="4"/>
        <v>Aug</v>
      </c>
    </row>
    <row r="126" spans="1:9" x14ac:dyDescent="0.35">
      <c r="A126" s="2">
        <v>1126</v>
      </c>
      <c r="B126" s="3">
        <v>45883</v>
      </c>
      <c r="C126" s="2" t="s">
        <v>14</v>
      </c>
      <c r="D126" s="2" t="s">
        <v>20</v>
      </c>
      <c r="E126" s="2" t="s">
        <v>12</v>
      </c>
      <c r="F126" s="2">
        <v>2</v>
      </c>
      <c r="G126" s="2">
        <v>45000</v>
      </c>
      <c r="H126">
        <f t="shared" si="5"/>
        <v>90000</v>
      </c>
      <c r="I126" t="str">
        <f t="shared" si="4"/>
        <v>Aug</v>
      </c>
    </row>
    <row r="127" spans="1:9" x14ac:dyDescent="0.35">
      <c r="A127" s="2">
        <v>1127</v>
      </c>
      <c r="B127" s="3">
        <v>45887</v>
      </c>
      <c r="C127" s="2" t="s">
        <v>7</v>
      </c>
      <c r="D127" s="2" t="s">
        <v>13</v>
      </c>
      <c r="E127" s="2" t="s">
        <v>12</v>
      </c>
      <c r="F127" s="2">
        <v>7</v>
      </c>
      <c r="G127" s="2">
        <v>2000</v>
      </c>
      <c r="H127">
        <f t="shared" si="5"/>
        <v>14000</v>
      </c>
      <c r="I127" t="str">
        <f t="shared" si="4"/>
        <v>Aug</v>
      </c>
    </row>
    <row r="128" spans="1:9" x14ac:dyDescent="0.35">
      <c r="A128" s="2">
        <v>1128</v>
      </c>
      <c r="B128" s="3">
        <v>45887</v>
      </c>
      <c r="C128" s="2" t="s">
        <v>22</v>
      </c>
      <c r="D128" s="2" t="s">
        <v>19</v>
      </c>
      <c r="E128" s="2" t="s">
        <v>16</v>
      </c>
      <c r="F128" s="2">
        <v>2</v>
      </c>
      <c r="G128" s="2">
        <v>6500</v>
      </c>
      <c r="H128">
        <f t="shared" si="5"/>
        <v>13000</v>
      </c>
      <c r="I128" t="str">
        <f t="shared" si="4"/>
        <v>Aug</v>
      </c>
    </row>
    <row r="129" spans="1:9" x14ac:dyDescent="0.35">
      <c r="A129" s="2">
        <v>1129</v>
      </c>
      <c r="B129" s="3">
        <v>45888</v>
      </c>
      <c r="C129" s="2" t="s">
        <v>10</v>
      </c>
      <c r="D129" s="2" t="s">
        <v>13</v>
      </c>
      <c r="E129" s="2" t="s">
        <v>12</v>
      </c>
      <c r="F129" s="2">
        <v>5</v>
      </c>
      <c r="G129" s="2">
        <v>2000</v>
      </c>
      <c r="H129">
        <f t="shared" si="5"/>
        <v>10000</v>
      </c>
      <c r="I129" t="str">
        <f t="shared" si="4"/>
        <v>Aug</v>
      </c>
    </row>
    <row r="130" spans="1:9" x14ac:dyDescent="0.35">
      <c r="A130" s="2">
        <v>1130</v>
      </c>
      <c r="B130" s="3">
        <v>45889</v>
      </c>
      <c r="C130" s="2" t="s">
        <v>7</v>
      </c>
      <c r="D130" s="2" t="s">
        <v>20</v>
      </c>
      <c r="E130" s="2" t="s">
        <v>12</v>
      </c>
      <c r="F130" s="2">
        <v>3</v>
      </c>
      <c r="G130" s="2">
        <v>45000</v>
      </c>
      <c r="H130">
        <f t="shared" ref="H130:H161" si="6">F130*G130</f>
        <v>135000</v>
      </c>
      <c r="I130" t="str">
        <f t="shared" si="4"/>
        <v>Aug</v>
      </c>
    </row>
    <row r="131" spans="1:9" x14ac:dyDescent="0.35">
      <c r="A131" s="2">
        <v>1131</v>
      </c>
      <c r="B131" s="3">
        <v>45889</v>
      </c>
      <c r="C131" s="2" t="s">
        <v>10</v>
      </c>
      <c r="D131" s="2" t="s">
        <v>8</v>
      </c>
      <c r="E131" s="2" t="s">
        <v>9</v>
      </c>
      <c r="F131" s="2">
        <v>8</v>
      </c>
      <c r="G131" s="2">
        <v>250</v>
      </c>
      <c r="H131">
        <f t="shared" si="6"/>
        <v>2000</v>
      </c>
      <c r="I131" t="str">
        <f t="shared" ref="I131:I194" si="7">TEXT(B131,"mmm")</f>
        <v>Aug</v>
      </c>
    </row>
    <row r="132" spans="1:9" x14ac:dyDescent="0.35">
      <c r="A132" s="2">
        <v>1132</v>
      </c>
      <c r="B132" s="3">
        <v>45891</v>
      </c>
      <c r="C132" s="2" t="s">
        <v>10</v>
      </c>
      <c r="D132" s="2" t="s">
        <v>21</v>
      </c>
      <c r="E132" s="2" t="s">
        <v>9</v>
      </c>
      <c r="F132" s="2">
        <v>7</v>
      </c>
      <c r="G132" s="2">
        <v>120</v>
      </c>
      <c r="H132">
        <f t="shared" si="6"/>
        <v>840</v>
      </c>
      <c r="I132" t="str">
        <f t="shared" si="7"/>
        <v>Aug</v>
      </c>
    </row>
    <row r="133" spans="1:9" x14ac:dyDescent="0.35">
      <c r="A133" s="2">
        <v>1133</v>
      </c>
      <c r="B133" s="3">
        <v>45895</v>
      </c>
      <c r="C133" s="2" t="s">
        <v>22</v>
      </c>
      <c r="D133" s="2" t="s">
        <v>21</v>
      </c>
      <c r="E133" s="2" t="s">
        <v>9</v>
      </c>
      <c r="F133" s="2">
        <v>2</v>
      </c>
      <c r="G133" s="2">
        <v>120</v>
      </c>
      <c r="H133">
        <f t="shared" si="6"/>
        <v>240</v>
      </c>
      <c r="I133" t="str">
        <f t="shared" si="7"/>
        <v>Aug</v>
      </c>
    </row>
    <row r="134" spans="1:9" x14ac:dyDescent="0.35">
      <c r="A134" s="2">
        <v>1134</v>
      </c>
      <c r="B134" s="3">
        <v>45895</v>
      </c>
      <c r="C134" s="2" t="s">
        <v>7</v>
      </c>
      <c r="D134" s="2" t="s">
        <v>17</v>
      </c>
      <c r="E134" s="2" t="s">
        <v>18</v>
      </c>
      <c r="F134" s="2">
        <v>8</v>
      </c>
      <c r="G134" s="2">
        <v>1500</v>
      </c>
      <c r="H134">
        <f t="shared" si="6"/>
        <v>12000</v>
      </c>
      <c r="I134" t="str">
        <f t="shared" si="7"/>
        <v>Aug</v>
      </c>
    </row>
    <row r="135" spans="1:9" x14ac:dyDescent="0.35">
      <c r="A135" s="2">
        <v>1135</v>
      </c>
      <c r="B135" s="3">
        <v>45900</v>
      </c>
      <c r="C135" s="2" t="s">
        <v>10</v>
      </c>
      <c r="D135" s="2" t="s">
        <v>20</v>
      </c>
      <c r="E135" s="2" t="s">
        <v>12</v>
      </c>
      <c r="F135" s="2">
        <v>2</v>
      </c>
      <c r="G135" s="2">
        <v>45000</v>
      </c>
      <c r="H135">
        <f t="shared" si="6"/>
        <v>90000</v>
      </c>
      <c r="I135" t="str">
        <f t="shared" si="7"/>
        <v>Aug</v>
      </c>
    </row>
    <row r="136" spans="1:9" x14ac:dyDescent="0.35">
      <c r="A136" s="2">
        <v>1136</v>
      </c>
      <c r="B136" s="3">
        <v>45901</v>
      </c>
      <c r="C136" s="2" t="s">
        <v>22</v>
      </c>
      <c r="D136" s="2" t="s">
        <v>15</v>
      </c>
      <c r="E136" s="2" t="s">
        <v>16</v>
      </c>
      <c r="F136" s="2">
        <v>9</v>
      </c>
      <c r="G136" s="2">
        <v>5200</v>
      </c>
      <c r="H136">
        <f t="shared" si="6"/>
        <v>46800</v>
      </c>
      <c r="I136" t="str">
        <f t="shared" si="7"/>
        <v>Sep</v>
      </c>
    </row>
    <row r="137" spans="1:9" x14ac:dyDescent="0.35">
      <c r="A137" s="2">
        <v>1137</v>
      </c>
      <c r="B137" s="3">
        <v>45903</v>
      </c>
      <c r="C137" s="2" t="s">
        <v>7</v>
      </c>
      <c r="D137" s="2" t="s">
        <v>8</v>
      </c>
      <c r="E137" s="2" t="s">
        <v>9</v>
      </c>
      <c r="F137" s="2">
        <v>2</v>
      </c>
      <c r="G137" s="2">
        <v>250</v>
      </c>
      <c r="H137">
        <f t="shared" si="6"/>
        <v>500</v>
      </c>
      <c r="I137" t="str">
        <f t="shared" si="7"/>
        <v>Sep</v>
      </c>
    </row>
    <row r="138" spans="1:9" x14ac:dyDescent="0.35">
      <c r="A138" s="2">
        <v>1138</v>
      </c>
      <c r="B138" s="3">
        <v>45905</v>
      </c>
      <c r="C138" s="2" t="s">
        <v>22</v>
      </c>
      <c r="D138" s="2" t="s">
        <v>15</v>
      </c>
      <c r="E138" s="2" t="s">
        <v>16</v>
      </c>
      <c r="F138" s="2">
        <v>2</v>
      </c>
      <c r="G138" s="2">
        <v>5200</v>
      </c>
      <c r="H138">
        <f t="shared" si="6"/>
        <v>10400</v>
      </c>
      <c r="I138" t="str">
        <f t="shared" si="7"/>
        <v>Sep</v>
      </c>
    </row>
    <row r="139" spans="1:9" x14ac:dyDescent="0.35">
      <c r="A139" s="2">
        <v>1139</v>
      </c>
      <c r="B139" s="3">
        <v>45910</v>
      </c>
      <c r="C139" s="2" t="s">
        <v>14</v>
      </c>
      <c r="D139" s="2" t="s">
        <v>20</v>
      </c>
      <c r="E139" s="2" t="s">
        <v>12</v>
      </c>
      <c r="F139" s="2">
        <v>1</v>
      </c>
      <c r="G139" s="2">
        <v>45000</v>
      </c>
      <c r="H139">
        <f t="shared" si="6"/>
        <v>45000</v>
      </c>
      <c r="I139" t="str">
        <f t="shared" si="7"/>
        <v>Sep</v>
      </c>
    </row>
    <row r="140" spans="1:9" x14ac:dyDescent="0.35">
      <c r="A140" s="2">
        <v>1140</v>
      </c>
      <c r="B140" s="3">
        <v>45912</v>
      </c>
      <c r="C140" s="2" t="s">
        <v>10</v>
      </c>
      <c r="D140" s="2" t="s">
        <v>11</v>
      </c>
      <c r="E140" s="2" t="s">
        <v>12</v>
      </c>
      <c r="F140" s="2">
        <v>1</v>
      </c>
      <c r="G140" s="2">
        <v>18000</v>
      </c>
      <c r="H140">
        <f t="shared" si="6"/>
        <v>18000</v>
      </c>
      <c r="I140" t="str">
        <f t="shared" si="7"/>
        <v>Sep</v>
      </c>
    </row>
    <row r="141" spans="1:9" x14ac:dyDescent="0.35">
      <c r="A141" s="2">
        <v>1141</v>
      </c>
      <c r="B141" s="3">
        <v>45913</v>
      </c>
      <c r="C141" s="2" t="s">
        <v>14</v>
      </c>
      <c r="D141" s="2" t="s">
        <v>15</v>
      </c>
      <c r="E141" s="2" t="s">
        <v>16</v>
      </c>
      <c r="F141" s="2">
        <v>10</v>
      </c>
      <c r="G141" s="2">
        <v>5200</v>
      </c>
      <c r="H141">
        <f t="shared" si="6"/>
        <v>52000</v>
      </c>
      <c r="I141" t="str">
        <f t="shared" si="7"/>
        <v>Sep</v>
      </c>
    </row>
    <row r="142" spans="1:9" x14ac:dyDescent="0.35">
      <c r="A142" s="2">
        <v>1142</v>
      </c>
      <c r="B142" s="3">
        <v>45914</v>
      </c>
      <c r="C142" s="2" t="s">
        <v>22</v>
      </c>
      <c r="D142" s="2" t="s">
        <v>13</v>
      </c>
      <c r="E142" s="2" t="s">
        <v>12</v>
      </c>
      <c r="F142" s="2">
        <v>9</v>
      </c>
      <c r="G142" s="2">
        <v>2000</v>
      </c>
      <c r="H142">
        <f t="shared" si="6"/>
        <v>18000</v>
      </c>
      <c r="I142" t="str">
        <f t="shared" si="7"/>
        <v>Sep</v>
      </c>
    </row>
    <row r="143" spans="1:9" x14ac:dyDescent="0.35">
      <c r="A143" s="2">
        <v>1143</v>
      </c>
      <c r="B143" s="3">
        <v>45914</v>
      </c>
      <c r="C143" s="2" t="s">
        <v>14</v>
      </c>
      <c r="D143" s="2" t="s">
        <v>13</v>
      </c>
      <c r="E143" s="2" t="s">
        <v>12</v>
      </c>
      <c r="F143" s="2">
        <v>5</v>
      </c>
      <c r="G143" s="2">
        <v>2000</v>
      </c>
      <c r="H143">
        <f t="shared" si="6"/>
        <v>10000</v>
      </c>
      <c r="I143" t="str">
        <f t="shared" si="7"/>
        <v>Sep</v>
      </c>
    </row>
    <row r="144" spans="1:9" x14ac:dyDescent="0.35">
      <c r="A144" s="2">
        <v>1144</v>
      </c>
      <c r="B144" s="3">
        <v>45917</v>
      </c>
      <c r="C144" s="2" t="s">
        <v>7</v>
      </c>
      <c r="D144" s="2" t="s">
        <v>19</v>
      </c>
      <c r="E144" s="2" t="s">
        <v>16</v>
      </c>
      <c r="F144" s="2">
        <v>1</v>
      </c>
      <c r="G144" s="2">
        <v>6500</v>
      </c>
      <c r="H144">
        <f t="shared" si="6"/>
        <v>6500</v>
      </c>
      <c r="I144" t="str">
        <f t="shared" si="7"/>
        <v>Sep</v>
      </c>
    </row>
    <row r="145" spans="1:9" x14ac:dyDescent="0.35">
      <c r="A145" s="2">
        <v>1145</v>
      </c>
      <c r="B145" s="3">
        <v>45917</v>
      </c>
      <c r="C145" s="2" t="s">
        <v>22</v>
      </c>
      <c r="D145" s="2" t="s">
        <v>15</v>
      </c>
      <c r="E145" s="2" t="s">
        <v>16</v>
      </c>
      <c r="F145" s="2">
        <v>4</v>
      </c>
      <c r="G145" s="2">
        <v>5200</v>
      </c>
      <c r="H145">
        <f t="shared" si="6"/>
        <v>20800</v>
      </c>
      <c r="I145" t="str">
        <f t="shared" si="7"/>
        <v>Sep</v>
      </c>
    </row>
    <row r="146" spans="1:9" x14ac:dyDescent="0.35">
      <c r="A146" s="2">
        <v>1146</v>
      </c>
      <c r="B146" s="3">
        <v>45917</v>
      </c>
      <c r="C146" s="2" t="s">
        <v>22</v>
      </c>
      <c r="D146" s="2" t="s">
        <v>15</v>
      </c>
      <c r="E146" s="2" t="s">
        <v>16</v>
      </c>
      <c r="F146" s="2">
        <v>10</v>
      </c>
      <c r="G146" s="2">
        <v>5200</v>
      </c>
      <c r="H146">
        <f t="shared" si="6"/>
        <v>52000</v>
      </c>
      <c r="I146" t="str">
        <f t="shared" si="7"/>
        <v>Sep</v>
      </c>
    </row>
    <row r="147" spans="1:9" x14ac:dyDescent="0.35">
      <c r="A147" s="2">
        <v>1147</v>
      </c>
      <c r="B147" s="3">
        <v>45918</v>
      </c>
      <c r="C147" s="2" t="s">
        <v>22</v>
      </c>
      <c r="D147" s="2" t="s">
        <v>17</v>
      </c>
      <c r="E147" s="2" t="s">
        <v>18</v>
      </c>
      <c r="F147" s="2">
        <v>9</v>
      </c>
      <c r="G147" s="2">
        <v>1500</v>
      </c>
      <c r="H147">
        <f t="shared" si="6"/>
        <v>13500</v>
      </c>
      <c r="I147" t="str">
        <f t="shared" si="7"/>
        <v>Sep</v>
      </c>
    </row>
    <row r="148" spans="1:9" x14ac:dyDescent="0.35">
      <c r="A148" s="2">
        <v>1148</v>
      </c>
      <c r="B148" s="3">
        <v>45922</v>
      </c>
      <c r="C148" s="2" t="s">
        <v>7</v>
      </c>
      <c r="D148" s="2" t="s">
        <v>15</v>
      </c>
      <c r="E148" s="2" t="s">
        <v>16</v>
      </c>
      <c r="F148" s="2">
        <v>9</v>
      </c>
      <c r="G148" s="2">
        <v>5200</v>
      </c>
      <c r="H148">
        <f t="shared" si="6"/>
        <v>46800</v>
      </c>
      <c r="I148" t="str">
        <f t="shared" si="7"/>
        <v>Sep</v>
      </c>
    </row>
    <row r="149" spans="1:9" x14ac:dyDescent="0.35">
      <c r="A149" s="2">
        <v>1149</v>
      </c>
      <c r="B149" s="3">
        <v>45923</v>
      </c>
      <c r="C149" s="2" t="s">
        <v>14</v>
      </c>
      <c r="D149" s="2" t="s">
        <v>8</v>
      </c>
      <c r="E149" s="2" t="s">
        <v>9</v>
      </c>
      <c r="F149" s="2">
        <v>3</v>
      </c>
      <c r="G149" s="2">
        <v>250</v>
      </c>
      <c r="H149">
        <f t="shared" si="6"/>
        <v>750</v>
      </c>
      <c r="I149" t="str">
        <f t="shared" si="7"/>
        <v>Sep</v>
      </c>
    </row>
    <row r="150" spans="1:9" x14ac:dyDescent="0.35">
      <c r="A150" s="2">
        <v>1150</v>
      </c>
      <c r="B150" s="3">
        <v>45923</v>
      </c>
      <c r="C150" s="2" t="s">
        <v>7</v>
      </c>
      <c r="D150" s="2" t="s">
        <v>17</v>
      </c>
      <c r="E150" s="2" t="s">
        <v>18</v>
      </c>
      <c r="F150" s="2">
        <v>6</v>
      </c>
      <c r="G150" s="2">
        <v>1500</v>
      </c>
      <c r="H150">
        <f t="shared" si="6"/>
        <v>9000</v>
      </c>
      <c r="I150" t="str">
        <f t="shared" si="7"/>
        <v>Sep</v>
      </c>
    </row>
    <row r="151" spans="1:9" x14ac:dyDescent="0.35">
      <c r="A151" s="2">
        <v>1151</v>
      </c>
      <c r="B151" s="3">
        <v>45926</v>
      </c>
      <c r="C151" s="2" t="s">
        <v>10</v>
      </c>
      <c r="D151" s="2" t="s">
        <v>17</v>
      </c>
      <c r="E151" s="2" t="s">
        <v>18</v>
      </c>
      <c r="F151" s="2">
        <v>6</v>
      </c>
      <c r="G151" s="2">
        <v>1500</v>
      </c>
      <c r="H151">
        <f t="shared" si="6"/>
        <v>9000</v>
      </c>
      <c r="I151" t="str">
        <f t="shared" si="7"/>
        <v>Sep</v>
      </c>
    </row>
    <row r="152" spans="1:9" x14ac:dyDescent="0.35">
      <c r="A152" s="2">
        <v>1152</v>
      </c>
      <c r="B152" s="3">
        <v>45926</v>
      </c>
      <c r="C152" s="2" t="s">
        <v>22</v>
      </c>
      <c r="D152" s="2" t="s">
        <v>20</v>
      </c>
      <c r="E152" s="2" t="s">
        <v>12</v>
      </c>
      <c r="F152" s="2">
        <v>2</v>
      </c>
      <c r="G152" s="2">
        <v>45000</v>
      </c>
      <c r="H152">
        <f t="shared" si="6"/>
        <v>90000</v>
      </c>
      <c r="I152" t="str">
        <f t="shared" si="7"/>
        <v>Sep</v>
      </c>
    </row>
    <row r="153" spans="1:9" x14ac:dyDescent="0.35">
      <c r="A153" s="2">
        <v>1153</v>
      </c>
      <c r="B153" s="3">
        <v>45926</v>
      </c>
      <c r="C153" s="2" t="s">
        <v>22</v>
      </c>
      <c r="D153" s="2" t="s">
        <v>20</v>
      </c>
      <c r="E153" s="2" t="s">
        <v>12</v>
      </c>
      <c r="F153" s="2">
        <v>3</v>
      </c>
      <c r="G153" s="2">
        <v>45000</v>
      </c>
      <c r="H153">
        <f t="shared" si="6"/>
        <v>135000</v>
      </c>
      <c r="I153" t="str">
        <f t="shared" si="7"/>
        <v>Sep</v>
      </c>
    </row>
    <row r="154" spans="1:9" x14ac:dyDescent="0.35">
      <c r="A154" s="2">
        <v>1154</v>
      </c>
      <c r="B154" s="3">
        <v>45927</v>
      </c>
      <c r="C154" s="2" t="s">
        <v>22</v>
      </c>
      <c r="D154" s="2" t="s">
        <v>13</v>
      </c>
      <c r="E154" s="2" t="s">
        <v>12</v>
      </c>
      <c r="F154" s="2">
        <v>7</v>
      </c>
      <c r="G154" s="2">
        <v>2000</v>
      </c>
      <c r="H154">
        <f t="shared" si="6"/>
        <v>14000</v>
      </c>
      <c r="I154" t="str">
        <f t="shared" si="7"/>
        <v>Sep</v>
      </c>
    </row>
    <row r="155" spans="1:9" x14ac:dyDescent="0.35">
      <c r="A155" s="2">
        <v>1155</v>
      </c>
      <c r="B155" s="3">
        <v>45928</v>
      </c>
      <c r="C155" s="2" t="s">
        <v>14</v>
      </c>
      <c r="D155" s="2" t="s">
        <v>15</v>
      </c>
      <c r="E155" s="2" t="s">
        <v>16</v>
      </c>
      <c r="F155" s="2">
        <v>2</v>
      </c>
      <c r="G155" s="2">
        <v>5200</v>
      </c>
      <c r="H155">
        <f t="shared" si="6"/>
        <v>10400</v>
      </c>
      <c r="I155" t="str">
        <f t="shared" si="7"/>
        <v>Sep</v>
      </c>
    </row>
    <row r="156" spans="1:9" x14ac:dyDescent="0.35">
      <c r="A156" s="2">
        <v>1156</v>
      </c>
      <c r="B156" s="3">
        <v>45928</v>
      </c>
      <c r="C156" s="2" t="s">
        <v>7</v>
      </c>
      <c r="D156" s="2" t="s">
        <v>21</v>
      </c>
      <c r="E156" s="2" t="s">
        <v>9</v>
      </c>
      <c r="F156" s="2">
        <v>2</v>
      </c>
      <c r="G156" s="2">
        <v>120</v>
      </c>
      <c r="H156">
        <f t="shared" si="6"/>
        <v>240</v>
      </c>
      <c r="I156" t="str">
        <f t="shared" si="7"/>
        <v>Sep</v>
      </c>
    </row>
    <row r="157" spans="1:9" x14ac:dyDescent="0.35">
      <c r="A157" s="2">
        <v>1157</v>
      </c>
      <c r="B157" s="3">
        <v>45929</v>
      </c>
      <c r="C157" s="2" t="s">
        <v>10</v>
      </c>
      <c r="D157" s="2" t="s">
        <v>19</v>
      </c>
      <c r="E157" s="2" t="s">
        <v>16</v>
      </c>
      <c r="F157" s="2">
        <v>5</v>
      </c>
      <c r="G157" s="2">
        <v>6500</v>
      </c>
      <c r="H157">
        <f t="shared" si="6"/>
        <v>32500</v>
      </c>
      <c r="I157" t="str">
        <f t="shared" si="7"/>
        <v>Sep</v>
      </c>
    </row>
    <row r="158" spans="1:9" x14ac:dyDescent="0.35">
      <c r="A158" s="2">
        <v>1158</v>
      </c>
      <c r="B158" s="3">
        <v>45938</v>
      </c>
      <c r="C158" s="2" t="s">
        <v>7</v>
      </c>
      <c r="D158" s="2" t="s">
        <v>11</v>
      </c>
      <c r="E158" s="2" t="s">
        <v>12</v>
      </c>
      <c r="F158" s="2">
        <v>3</v>
      </c>
      <c r="G158" s="2">
        <v>18000</v>
      </c>
      <c r="H158">
        <f t="shared" si="6"/>
        <v>54000</v>
      </c>
      <c r="I158" t="str">
        <f t="shared" si="7"/>
        <v>Oct</v>
      </c>
    </row>
    <row r="159" spans="1:9" x14ac:dyDescent="0.35">
      <c r="A159" s="2">
        <v>1159</v>
      </c>
      <c r="B159" s="3">
        <v>45938</v>
      </c>
      <c r="C159" s="2" t="s">
        <v>7</v>
      </c>
      <c r="D159" s="2" t="s">
        <v>8</v>
      </c>
      <c r="E159" s="2" t="s">
        <v>9</v>
      </c>
      <c r="F159" s="2">
        <v>4</v>
      </c>
      <c r="G159" s="2">
        <v>250</v>
      </c>
      <c r="H159">
        <f t="shared" si="6"/>
        <v>1000</v>
      </c>
      <c r="I159" t="str">
        <f t="shared" si="7"/>
        <v>Oct</v>
      </c>
    </row>
    <row r="160" spans="1:9" x14ac:dyDescent="0.35">
      <c r="A160" s="2">
        <v>1160</v>
      </c>
      <c r="B160" s="3">
        <v>45939</v>
      </c>
      <c r="C160" s="2" t="s">
        <v>14</v>
      </c>
      <c r="D160" s="2" t="s">
        <v>15</v>
      </c>
      <c r="E160" s="2" t="s">
        <v>16</v>
      </c>
      <c r="F160" s="2">
        <v>7</v>
      </c>
      <c r="G160" s="2">
        <v>5200</v>
      </c>
      <c r="H160">
        <f t="shared" si="6"/>
        <v>36400</v>
      </c>
      <c r="I160" t="str">
        <f t="shared" si="7"/>
        <v>Oct</v>
      </c>
    </row>
    <row r="161" spans="1:9" x14ac:dyDescent="0.35">
      <c r="A161" s="2">
        <v>1161</v>
      </c>
      <c r="B161" s="3">
        <v>45939</v>
      </c>
      <c r="C161" s="2" t="s">
        <v>7</v>
      </c>
      <c r="D161" s="2" t="s">
        <v>19</v>
      </c>
      <c r="E161" s="2" t="s">
        <v>16</v>
      </c>
      <c r="F161" s="2">
        <v>5</v>
      </c>
      <c r="G161" s="2">
        <v>6500</v>
      </c>
      <c r="H161">
        <f t="shared" si="6"/>
        <v>32500</v>
      </c>
      <c r="I161" t="str">
        <f t="shared" si="7"/>
        <v>Oct</v>
      </c>
    </row>
    <row r="162" spans="1:9" x14ac:dyDescent="0.35">
      <c r="A162" s="2">
        <v>1162</v>
      </c>
      <c r="B162" s="3">
        <v>45942</v>
      </c>
      <c r="C162" s="2" t="s">
        <v>10</v>
      </c>
      <c r="D162" s="2" t="s">
        <v>20</v>
      </c>
      <c r="E162" s="2" t="s">
        <v>12</v>
      </c>
      <c r="F162" s="2">
        <v>2</v>
      </c>
      <c r="G162" s="2">
        <v>45000</v>
      </c>
      <c r="H162">
        <f t="shared" ref="H162:H193" si="8">F162*G162</f>
        <v>90000</v>
      </c>
      <c r="I162" t="str">
        <f t="shared" si="7"/>
        <v>Oct</v>
      </c>
    </row>
    <row r="163" spans="1:9" x14ac:dyDescent="0.35">
      <c r="A163" s="2">
        <v>1163</v>
      </c>
      <c r="B163" s="3">
        <v>45943</v>
      </c>
      <c r="C163" s="2" t="s">
        <v>14</v>
      </c>
      <c r="D163" s="2" t="s">
        <v>8</v>
      </c>
      <c r="E163" s="2" t="s">
        <v>9</v>
      </c>
      <c r="F163" s="2">
        <v>6</v>
      </c>
      <c r="G163" s="2">
        <v>250</v>
      </c>
      <c r="H163">
        <f t="shared" si="8"/>
        <v>1500</v>
      </c>
      <c r="I163" t="str">
        <f t="shared" si="7"/>
        <v>Oct</v>
      </c>
    </row>
    <row r="164" spans="1:9" x14ac:dyDescent="0.35">
      <c r="A164" s="2">
        <v>1164</v>
      </c>
      <c r="B164" s="3">
        <v>45945</v>
      </c>
      <c r="C164" s="2" t="s">
        <v>10</v>
      </c>
      <c r="D164" s="2" t="s">
        <v>20</v>
      </c>
      <c r="E164" s="2" t="s">
        <v>12</v>
      </c>
      <c r="F164" s="2">
        <v>1</v>
      </c>
      <c r="G164" s="2">
        <v>45000</v>
      </c>
      <c r="H164">
        <f t="shared" si="8"/>
        <v>45000</v>
      </c>
      <c r="I164" t="str">
        <f t="shared" si="7"/>
        <v>Oct</v>
      </c>
    </row>
    <row r="165" spans="1:9" x14ac:dyDescent="0.35">
      <c r="A165" s="2">
        <v>1165</v>
      </c>
      <c r="B165" s="3">
        <v>45948</v>
      </c>
      <c r="C165" s="2" t="s">
        <v>7</v>
      </c>
      <c r="D165" s="2" t="s">
        <v>13</v>
      </c>
      <c r="E165" s="2" t="s">
        <v>12</v>
      </c>
      <c r="F165" s="2">
        <v>9</v>
      </c>
      <c r="G165" s="2">
        <v>2000</v>
      </c>
      <c r="H165">
        <f t="shared" si="8"/>
        <v>18000</v>
      </c>
      <c r="I165" t="str">
        <f t="shared" si="7"/>
        <v>Oct</v>
      </c>
    </row>
    <row r="166" spans="1:9" x14ac:dyDescent="0.35">
      <c r="A166" s="2">
        <v>1166</v>
      </c>
      <c r="B166" s="3">
        <v>45949</v>
      </c>
      <c r="C166" s="2" t="s">
        <v>10</v>
      </c>
      <c r="D166" s="2" t="s">
        <v>19</v>
      </c>
      <c r="E166" s="2" t="s">
        <v>16</v>
      </c>
      <c r="F166" s="2">
        <v>1</v>
      </c>
      <c r="G166" s="2">
        <v>6500</v>
      </c>
      <c r="H166">
        <f t="shared" si="8"/>
        <v>6500</v>
      </c>
      <c r="I166" t="str">
        <f t="shared" si="7"/>
        <v>Oct</v>
      </c>
    </row>
    <row r="167" spans="1:9" x14ac:dyDescent="0.35">
      <c r="A167" s="2">
        <v>1167</v>
      </c>
      <c r="B167" s="3">
        <v>45950</v>
      </c>
      <c r="C167" s="2" t="s">
        <v>22</v>
      </c>
      <c r="D167" s="2" t="s">
        <v>15</v>
      </c>
      <c r="E167" s="2" t="s">
        <v>16</v>
      </c>
      <c r="F167" s="2">
        <v>9</v>
      </c>
      <c r="G167" s="2">
        <v>5200</v>
      </c>
      <c r="H167">
        <f t="shared" si="8"/>
        <v>46800</v>
      </c>
      <c r="I167" t="str">
        <f t="shared" si="7"/>
        <v>Oct</v>
      </c>
    </row>
    <row r="168" spans="1:9" x14ac:dyDescent="0.35">
      <c r="A168" s="2">
        <v>1168</v>
      </c>
      <c r="B168" s="3">
        <v>45959</v>
      </c>
      <c r="C168" s="2" t="s">
        <v>14</v>
      </c>
      <c r="D168" s="2" t="s">
        <v>13</v>
      </c>
      <c r="E168" s="2" t="s">
        <v>12</v>
      </c>
      <c r="F168" s="2">
        <v>5</v>
      </c>
      <c r="G168" s="2">
        <v>2000</v>
      </c>
      <c r="H168">
        <f t="shared" si="8"/>
        <v>10000</v>
      </c>
      <c r="I168" t="str">
        <f t="shared" si="7"/>
        <v>Oct</v>
      </c>
    </row>
    <row r="169" spans="1:9" x14ac:dyDescent="0.35">
      <c r="A169" s="2">
        <v>1169</v>
      </c>
      <c r="B169" s="3">
        <v>45960</v>
      </c>
      <c r="C169" s="2" t="s">
        <v>10</v>
      </c>
      <c r="D169" s="2" t="s">
        <v>17</v>
      </c>
      <c r="E169" s="2" t="s">
        <v>18</v>
      </c>
      <c r="F169" s="2">
        <v>3</v>
      </c>
      <c r="G169" s="2">
        <v>1500</v>
      </c>
      <c r="H169">
        <f t="shared" si="8"/>
        <v>4500</v>
      </c>
      <c r="I169" t="str">
        <f t="shared" si="7"/>
        <v>Oct</v>
      </c>
    </row>
    <row r="170" spans="1:9" x14ac:dyDescent="0.35">
      <c r="A170" s="2">
        <v>1170</v>
      </c>
      <c r="B170" s="3">
        <v>45962</v>
      </c>
      <c r="C170" s="2" t="s">
        <v>10</v>
      </c>
      <c r="D170" s="2" t="s">
        <v>17</v>
      </c>
      <c r="E170" s="2" t="s">
        <v>18</v>
      </c>
      <c r="F170" s="2">
        <v>10</v>
      </c>
      <c r="G170" s="2">
        <v>1500</v>
      </c>
      <c r="H170">
        <f t="shared" si="8"/>
        <v>15000</v>
      </c>
      <c r="I170" t="str">
        <f t="shared" si="7"/>
        <v>Nov</v>
      </c>
    </row>
    <row r="171" spans="1:9" x14ac:dyDescent="0.35">
      <c r="A171" s="2">
        <v>1171</v>
      </c>
      <c r="B171" s="3">
        <v>45965</v>
      </c>
      <c r="C171" s="2" t="s">
        <v>7</v>
      </c>
      <c r="D171" s="2" t="s">
        <v>20</v>
      </c>
      <c r="E171" s="2" t="s">
        <v>12</v>
      </c>
      <c r="F171" s="2">
        <v>1</v>
      </c>
      <c r="G171" s="2">
        <v>45000</v>
      </c>
      <c r="H171">
        <f t="shared" si="8"/>
        <v>45000</v>
      </c>
      <c r="I171" t="str">
        <f t="shared" si="7"/>
        <v>Nov</v>
      </c>
    </row>
    <row r="172" spans="1:9" x14ac:dyDescent="0.35">
      <c r="A172" s="2">
        <v>1172</v>
      </c>
      <c r="B172" s="3">
        <v>45966</v>
      </c>
      <c r="C172" s="2" t="s">
        <v>14</v>
      </c>
      <c r="D172" s="2" t="s">
        <v>15</v>
      </c>
      <c r="E172" s="2" t="s">
        <v>16</v>
      </c>
      <c r="F172" s="2">
        <v>2</v>
      </c>
      <c r="G172" s="2">
        <v>5200</v>
      </c>
      <c r="H172">
        <f t="shared" si="8"/>
        <v>10400</v>
      </c>
      <c r="I172" t="str">
        <f t="shared" si="7"/>
        <v>Nov</v>
      </c>
    </row>
    <row r="173" spans="1:9" x14ac:dyDescent="0.35">
      <c r="A173" s="2">
        <v>1173</v>
      </c>
      <c r="B173" s="3">
        <v>45969</v>
      </c>
      <c r="C173" s="2" t="s">
        <v>22</v>
      </c>
      <c r="D173" s="2" t="s">
        <v>20</v>
      </c>
      <c r="E173" s="2" t="s">
        <v>12</v>
      </c>
      <c r="F173" s="2">
        <v>1</v>
      </c>
      <c r="G173" s="2">
        <v>45000</v>
      </c>
      <c r="H173">
        <f t="shared" si="8"/>
        <v>45000</v>
      </c>
      <c r="I173" t="str">
        <f t="shared" si="7"/>
        <v>Nov</v>
      </c>
    </row>
    <row r="174" spans="1:9" x14ac:dyDescent="0.35">
      <c r="A174" s="2">
        <v>1174</v>
      </c>
      <c r="B174" s="3">
        <v>45970</v>
      </c>
      <c r="C174" s="2" t="s">
        <v>7</v>
      </c>
      <c r="D174" s="2" t="s">
        <v>8</v>
      </c>
      <c r="E174" s="2" t="s">
        <v>9</v>
      </c>
      <c r="F174" s="2">
        <v>3</v>
      </c>
      <c r="G174" s="2">
        <v>250</v>
      </c>
      <c r="H174">
        <f t="shared" si="8"/>
        <v>750</v>
      </c>
      <c r="I174" t="str">
        <f t="shared" si="7"/>
        <v>Nov</v>
      </c>
    </row>
    <row r="175" spans="1:9" x14ac:dyDescent="0.35">
      <c r="A175" s="2">
        <v>1175</v>
      </c>
      <c r="B175" s="3">
        <v>45972</v>
      </c>
      <c r="C175" s="2" t="s">
        <v>14</v>
      </c>
      <c r="D175" s="2" t="s">
        <v>21</v>
      </c>
      <c r="E175" s="2" t="s">
        <v>9</v>
      </c>
      <c r="F175" s="2">
        <v>3</v>
      </c>
      <c r="G175" s="2">
        <v>120</v>
      </c>
      <c r="H175">
        <f t="shared" si="8"/>
        <v>360</v>
      </c>
      <c r="I175" t="str">
        <f t="shared" si="7"/>
        <v>Nov</v>
      </c>
    </row>
    <row r="176" spans="1:9" x14ac:dyDescent="0.35">
      <c r="A176" s="2">
        <v>1176</v>
      </c>
      <c r="B176" s="3">
        <v>45974</v>
      </c>
      <c r="C176" s="2" t="s">
        <v>10</v>
      </c>
      <c r="D176" s="2" t="s">
        <v>19</v>
      </c>
      <c r="E176" s="2" t="s">
        <v>16</v>
      </c>
      <c r="F176" s="2">
        <v>8</v>
      </c>
      <c r="G176" s="2">
        <v>6500</v>
      </c>
      <c r="H176">
        <f t="shared" si="8"/>
        <v>52000</v>
      </c>
      <c r="I176" t="str">
        <f t="shared" si="7"/>
        <v>Nov</v>
      </c>
    </row>
    <row r="177" spans="1:9" x14ac:dyDescent="0.35">
      <c r="A177" s="2">
        <v>1177</v>
      </c>
      <c r="B177" s="3">
        <v>45978</v>
      </c>
      <c r="C177" s="2" t="s">
        <v>14</v>
      </c>
      <c r="D177" s="2" t="s">
        <v>19</v>
      </c>
      <c r="E177" s="2" t="s">
        <v>16</v>
      </c>
      <c r="F177" s="2">
        <v>8</v>
      </c>
      <c r="G177" s="2">
        <v>6500</v>
      </c>
      <c r="H177">
        <f t="shared" si="8"/>
        <v>52000</v>
      </c>
      <c r="I177" t="str">
        <f t="shared" si="7"/>
        <v>Nov</v>
      </c>
    </row>
    <row r="178" spans="1:9" x14ac:dyDescent="0.35">
      <c r="A178" s="2">
        <v>1178</v>
      </c>
      <c r="B178" s="3">
        <v>45980</v>
      </c>
      <c r="C178" s="2" t="s">
        <v>22</v>
      </c>
      <c r="D178" s="2" t="s">
        <v>19</v>
      </c>
      <c r="E178" s="2" t="s">
        <v>16</v>
      </c>
      <c r="F178" s="2">
        <v>2</v>
      </c>
      <c r="G178" s="2">
        <v>6500</v>
      </c>
      <c r="H178">
        <f t="shared" si="8"/>
        <v>13000</v>
      </c>
      <c r="I178" t="str">
        <f t="shared" si="7"/>
        <v>Nov</v>
      </c>
    </row>
    <row r="179" spans="1:9" x14ac:dyDescent="0.35">
      <c r="A179" s="2">
        <v>1179</v>
      </c>
      <c r="B179" s="3">
        <v>45981</v>
      </c>
      <c r="C179" s="2" t="s">
        <v>22</v>
      </c>
      <c r="D179" s="2" t="s">
        <v>21</v>
      </c>
      <c r="E179" s="2" t="s">
        <v>9</v>
      </c>
      <c r="F179" s="2">
        <v>9</v>
      </c>
      <c r="G179" s="2">
        <v>120</v>
      </c>
      <c r="H179">
        <f t="shared" si="8"/>
        <v>1080</v>
      </c>
      <c r="I179" t="str">
        <f t="shared" si="7"/>
        <v>Nov</v>
      </c>
    </row>
    <row r="180" spans="1:9" x14ac:dyDescent="0.35">
      <c r="A180" s="2">
        <v>1180</v>
      </c>
      <c r="B180" s="3">
        <v>45984</v>
      </c>
      <c r="C180" s="2" t="s">
        <v>10</v>
      </c>
      <c r="D180" s="2" t="s">
        <v>8</v>
      </c>
      <c r="E180" s="2" t="s">
        <v>9</v>
      </c>
      <c r="F180" s="2">
        <v>2</v>
      </c>
      <c r="G180" s="2">
        <v>250</v>
      </c>
      <c r="H180">
        <f t="shared" si="8"/>
        <v>500</v>
      </c>
      <c r="I180" t="str">
        <f t="shared" si="7"/>
        <v>Nov</v>
      </c>
    </row>
    <row r="181" spans="1:9" x14ac:dyDescent="0.35">
      <c r="A181" s="2">
        <v>1181</v>
      </c>
      <c r="B181" s="3">
        <v>45987</v>
      </c>
      <c r="C181" s="2" t="s">
        <v>14</v>
      </c>
      <c r="D181" s="2" t="s">
        <v>8</v>
      </c>
      <c r="E181" s="2" t="s">
        <v>9</v>
      </c>
      <c r="F181" s="2">
        <v>3</v>
      </c>
      <c r="G181" s="2">
        <v>250</v>
      </c>
      <c r="H181">
        <f t="shared" si="8"/>
        <v>750</v>
      </c>
      <c r="I181" t="str">
        <f t="shared" si="7"/>
        <v>Nov</v>
      </c>
    </row>
    <row r="182" spans="1:9" x14ac:dyDescent="0.35">
      <c r="A182" s="2">
        <v>1182</v>
      </c>
      <c r="B182" s="3">
        <v>45988</v>
      </c>
      <c r="C182" s="2" t="s">
        <v>14</v>
      </c>
      <c r="D182" s="2" t="s">
        <v>15</v>
      </c>
      <c r="E182" s="2" t="s">
        <v>16</v>
      </c>
      <c r="F182" s="2">
        <v>3</v>
      </c>
      <c r="G182" s="2">
        <v>5200</v>
      </c>
      <c r="H182">
        <f t="shared" si="8"/>
        <v>15600</v>
      </c>
      <c r="I182" t="str">
        <f t="shared" si="7"/>
        <v>Nov</v>
      </c>
    </row>
    <row r="183" spans="1:9" x14ac:dyDescent="0.35">
      <c r="A183" s="2">
        <v>1183</v>
      </c>
      <c r="B183" s="3">
        <v>45989</v>
      </c>
      <c r="C183" s="2" t="s">
        <v>10</v>
      </c>
      <c r="D183" s="2" t="s">
        <v>17</v>
      </c>
      <c r="E183" s="2" t="s">
        <v>18</v>
      </c>
      <c r="F183" s="2">
        <v>5</v>
      </c>
      <c r="G183" s="2">
        <v>1500</v>
      </c>
      <c r="H183">
        <f t="shared" si="8"/>
        <v>7500</v>
      </c>
      <c r="I183" t="str">
        <f t="shared" si="7"/>
        <v>Nov</v>
      </c>
    </row>
    <row r="184" spans="1:9" x14ac:dyDescent="0.35">
      <c r="A184" s="2">
        <v>1184</v>
      </c>
      <c r="B184" s="3">
        <v>45994</v>
      </c>
      <c r="C184" s="2" t="s">
        <v>22</v>
      </c>
      <c r="D184" s="2" t="s">
        <v>8</v>
      </c>
      <c r="E184" s="2" t="s">
        <v>9</v>
      </c>
      <c r="F184" s="2">
        <v>3</v>
      </c>
      <c r="G184" s="2">
        <v>250</v>
      </c>
      <c r="H184">
        <f t="shared" si="8"/>
        <v>750</v>
      </c>
      <c r="I184" t="str">
        <f t="shared" si="7"/>
        <v>Dec</v>
      </c>
    </row>
    <row r="185" spans="1:9" x14ac:dyDescent="0.35">
      <c r="A185" s="2">
        <v>1185</v>
      </c>
      <c r="B185" s="3">
        <v>45994</v>
      </c>
      <c r="C185" s="2" t="s">
        <v>10</v>
      </c>
      <c r="D185" s="2" t="s">
        <v>17</v>
      </c>
      <c r="E185" s="2" t="s">
        <v>18</v>
      </c>
      <c r="F185" s="2">
        <v>9</v>
      </c>
      <c r="G185" s="2">
        <v>1500</v>
      </c>
      <c r="H185">
        <f t="shared" si="8"/>
        <v>13500</v>
      </c>
      <c r="I185" t="str">
        <f t="shared" si="7"/>
        <v>Dec</v>
      </c>
    </row>
    <row r="186" spans="1:9" x14ac:dyDescent="0.35">
      <c r="A186" s="2">
        <v>1186</v>
      </c>
      <c r="B186" s="3">
        <v>45994</v>
      </c>
      <c r="C186" s="2" t="s">
        <v>10</v>
      </c>
      <c r="D186" s="2" t="s">
        <v>21</v>
      </c>
      <c r="E186" s="2" t="s">
        <v>9</v>
      </c>
      <c r="F186" s="2">
        <v>6</v>
      </c>
      <c r="G186" s="2">
        <v>120</v>
      </c>
      <c r="H186">
        <f t="shared" si="8"/>
        <v>720</v>
      </c>
      <c r="I186" t="str">
        <f t="shared" si="7"/>
        <v>Dec</v>
      </c>
    </row>
    <row r="187" spans="1:9" x14ac:dyDescent="0.35">
      <c r="A187" s="2">
        <v>1187</v>
      </c>
      <c r="B187" s="3">
        <v>45995</v>
      </c>
      <c r="C187" s="2" t="s">
        <v>10</v>
      </c>
      <c r="D187" s="2" t="s">
        <v>19</v>
      </c>
      <c r="E187" s="2" t="s">
        <v>16</v>
      </c>
      <c r="F187" s="2">
        <v>1</v>
      </c>
      <c r="G187" s="2">
        <v>6500</v>
      </c>
      <c r="H187">
        <f t="shared" si="8"/>
        <v>6500</v>
      </c>
      <c r="I187" t="str">
        <f t="shared" si="7"/>
        <v>Dec</v>
      </c>
    </row>
    <row r="188" spans="1:9" x14ac:dyDescent="0.35">
      <c r="A188" s="2">
        <v>1188</v>
      </c>
      <c r="B188" s="3">
        <v>45995</v>
      </c>
      <c r="C188" s="2" t="s">
        <v>10</v>
      </c>
      <c r="D188" s="2" t="s">
        <v>11</v>
      </c>
      <c r="E188" s="2" t="s">
        <v>12</v>
      </c>
      <c r="F188" s="2">
        <v>3</v>
      </c>
      <c r="G188" s="2">
        <v>18000</v>
      </c>
      <c r="H188">
        <f t="shared" si="8"/>
        <v>54000</v>
      </c>
      <c r="I188" t="str">
        <f t="shared" si="7"/>
        <v>Dec</v>
      </c>
    </row>
    <row r="189" spans="1:9" x14ac:dyDescent="0.35">
      <c r="A189" s="2">
        <v>1189</v>
      </c>
      <c r="B189" s="3">
        <v>46000</v>
      </c>
      <c r="C189" s="2" t="s">
        <v>10</v>
      </c>
      <c r="D189" s="2" t="s">
        <v>8</v>
      </c>
      <c r="E189" s="2" t="s">
        <v>9</v>
      </c>
      <c r="F189" s="2">
        <v>1</v>
      </c>
      <c r="G189" s="2">
        <v>250</v>
      </c>
      <c r="H189">
        <f t="shared" si="8"/>
        <v>250</v>
      </c>
      <c r="I189" t="str">
        <f t="shared" si="7"/>
        <v>Dec</v>
      </c>
    </row>
    <row r="190" spans="1:9" x14ac:dyDescent="0.35">
      <c r="A190" s="2">
        <v>1190</v>
      </c>
      <c r="B190" s="3">
        <v>46001</v>
      </c>
      <c r="C190" s="2" t="s">
        <v>7</v>
      </c>
      <c r="D190" s="2" t="s">
        <v>19</v>
      </c>
      <c r="E190" s="2" t="s">
        <v>16</v>
      </c>
      <c r="F190" s="2">
        <v>7</v>
      </c>
      <c r="G190" s="2">
        <v>6500</v>
      </c>
      <c r="H190">
        <f t="shared" si="8"/>
        <v>45500</v>
      </c>
      <c r="I190" t="str">
        <f t="shared" si="7"/>
        <v>Dec</v>
      </c>
    </row>
    <row r="191" spans="1:9" x14ac:dyDescent="0.35">
      <c r="A191" s="2">
        <v>1191</v>
      </c>
      <c r="B191" s="3">
        <v>46003</v>
      </c>
      <c r="C191" s="2" t="s">
        <v>14</v>
      </c>
      <c r="D191" s="2" t="s">
        <v>17</v>
      </c>
      <c r="E191" s="2" t="s">
        <v>18</v>
      </c>
      <c r="F191" s="2">
        <v>5</v>
      </c>
      <c r="G191" s="2">
        <v>1500</v>
      </c>
      <c r="H191">
        <f t="shared" si="8"/>
        <v>7500</v>
      </c>
      <c r="I191" t="str">
        <f t="shared" si="7"/>
        <v>Dec</v>
      </c>
    </row>
    <row r="192" spans="1:9" x14ac:dyDescent="0.35">
      <c r="A192" s="2">
        <v>1192</v>
      </c>
      <c r="B192" s="3">
        <v>46006</v>
      </c>
      <c r="C192" s="2" t="s">
        <v>14</v>
      </c>
      <c r="D192" s="2" t="s">
        <v>17</v>
      </c>
      <c r="E192" s="2" t="s">
        <v>18</v>
      </c>
      <c r="F192" s="2">
        <v>7</v>
      </c>
      <c r="G192" s="2">
        <v>1500</v>
      </c>
      <c r="H192">
        <f t="shared" si="8"/>
        <v>10500</v>
      </c>
      <c r="I192" t="str">
        <f t="shared" si="7"/>
        <v>Dec</v>
      </c>
    </row>
    <row r="193" spans="1:9" x14ac:dyDescent="0.35">
      <c r="A193" s="2">
        <v>1193</v>
      </c>
      <c r="B193" s="3">
        <v>46007</v>
      </c>
      <c r="C193" s="2" t="s">
        <v>22</v>
      </c>
      <c r="D193" s="2" t="s">
        <v>21</v>
      </c>
      <c r="E193" s="2" t="s">
        <v>9</v>
      </c>
      <c r="F193" s="2">
        <v>4</v>
      </c>
      <c r="G193" s="2">
        <v>120</v>
      </c>
      <c r="H193">
        <f t="shared" si="8"/>
        <v>480</v>
      </c>
      <c r="I193" t="str">
        <f t="shared" si="7"/>
        <v>Dec</v>
      </c>
    </row>
    <row r="194" spans="1:9" x14ac:dyDescent="0.35">
      <c r="A194" s="2">
        <v>1194</v>
      </c>
      <c r="B194" s="3">
        <v>46012</v>
      </c>
      <c r="C194" s="2" t="s">
        <v>7</v>
      </c>
      <c r="D194" s="2" t="s">
        <v>13</v>
      </c>
      <c r="E194" s="2" t="s">
        <v>12</v>
      </c>
      <c r="F194" s="2">
        <v>9</v>
      </c>
      <c r="G194" s="2">
        <v>2000</v>
      </c>
      <c r="H194">
        <f t="shared" ref="H194:H225" si="9">F194*G194</f>
        <v>18000</v>
      </c>
      <c r="I194" t="str">
        <f t="shared" si="7"/>
        <v>Dec</v>
      </c>
    </row>
    <row r="195" spans="1:9" x14ac:dyDescent="0.35">
      <c r="A195" s="2">
        <v>1195</v>
      </c>
      <c r="B195" s="3">
        <v>46012</v>
      </c>
      <c r="C195" s="2" t="s">
        <v>10</v>
      </c>
      <c r="D195" s="2" t="s">
        <v>15</v>
      </c>
      <c r="E195" s="2" t="s">
        <v>16</v>
      </c>
      <c r="F195" s="2">
        <v>1</v>
      </c>
      <c r="G195" s="2">
        <v>5200</v>
      </c>
      <c r="H195">
        <f t="shared" si="9"/>
        <v>5200</v>
      </c>
      <c r="I195" t="str">
        <f t="shared" ref="I195:I200" si="10">TEXT(B195,"mmm")</f>
        <v>Dec</v>
      </c>
    </row>
    <row r="196" spans="1:9" x14ac:dyDescent="0.35">
      <c r="A196" s="2">
        <v>1196</v>
      </c>
      <c r="B196" s="3">
        <v>46014</v>
      </c>
      <c r="C196" s="2" t="s">
        <v>14</v>
      </c>
      <c r="D196" s="2" t="s">
        <v>11</v>
      </c>
      <c r="E196" s="2" t="s">
        <v>12</v>
      </c>
      <c r="F196" s="2">
        <v>1</v>
      </c>
      <c r="G196" s="2">
        <v>18000</v>
      </c>
      <c r="H196">
        <f t="shared" si="9"/>
        <v>18000</v>
      </c>
      <c r="I196" t="str">
        <f t="shared" si="10"/>
        <v>Dec</v>
      </c>
    </row>
    <row r="197" spans="1:9" x14ac:dyDescent="0.35">
      <c r="A197" s="2">
        <v>1197</v>
      </c>
      <c r="B197" s="3">
        <v>46015</v>
      </c>
      <c r="C197" s="2" t="s">
        <v>14</v>
      </c>
      <c r="D197" s="2" t="s">
        <v>19</v>
      </c>
      <c r="E197" s="2" t="s">
        <v>16</v>
      </c>
      <c r="F197" s="2">
        <v>2</v>
      </c>
      <c r="G197" s="2">
        <v>6500</v>
      </c>
      <c r="H197">
        <f t="shared" si="9"/>
        <v>13000</v>
      </c>
      <c r="I197" t="str">
        <f t="shared" si="10"/>
        <v>Dec</v>
      </c>
    </row>
    <row r="198" spans="1:9" x14ac:dyDescent="0.35">
      <c r="A198" s="2">
        <v>1198</v>
      </c>
      <c r="B198" s="3">
        <v>46015</v>
      </c>
      <c r="C198" s="2" t="s">
        <v>22</v>
      </c>
      <c r="D198" s="2" t="s">
        <v>15</v>
      </c>
      <c r="E198" s="2" t="s">
        <v>16</v>
      </c>
      <c r="F198" s="2">
        <v>9</v>
      </c>
      <c r="G198" s="2">
        <v>5200</v>
      </c>
      <c r="H198">
        <f t="shared" si="9"/>
        <v>46800</v>
      </c>
      <c r="I198" t="str">
        <f t="shared" si="10"/>
        <v>Dec</v>
      </c>
    </row>
    <row r="199" spans="1:9" x14ac:dyDescent="0.35">
      <c r="A199" s="2">
        <v>1199</v>
      </c>
      <c r="B199" s="3">
        <v>46016</v>
      </c>
      <c r="C199" s="2" t="s">
        <v>14</v>
      </c>
      <c r="D199" s="2" t="s">
        <v>8</v>
      </c>
      <c r="E199" s="2" t="s">
        <v>9</v>
      </c>
      <c r="F199" s="2">
        <v>2</v>
      </c>
      <c r="G199" s="2">
        <v>250</v>
      </c>
      <c r="H199">
        <f t="shared" si="9"/>
        <v>500</v>
      </c>
      <c r="I199" t="str">
        <f t="shared" si="10"/>
        <v>Dec</v>
      </c>
    </row>
    <row r="200" spans="1:9" x14ac:dyDescent="0.35">
      <c r="A200" s="2">
        <v>1200</v>
      </c>
      <c r="B200" s="3">
        <v>46016</v>
      </c>
      <c r="C200" s="2" t="s">
        <v>7</v>
      </c>
      <c r="D200" s="2" t="s">
        <v>17</v>
      </c>
      <c r="E200" s="2" t="s">
        <v>18</v>
      </c>
      <c r="F200" s="2">
        <v>2</v>
      </c>
      <c r="G200" s="2">
        <v>1500</v>
      </c>
      <c r="H200">
        <f t="shared" si="9"/>
        <v>3000</v>
      </c>
      <c r="I200" t="str">
        <f t="shared" si="10"/>
        <v>Dec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09A1-D786-478F-8650-4BB8E38113A3}">
  <dimension ref="A1:F39"/>
  <sheetViews>
    <sheetView topLeftCell="A2" zoomScale="57" zoomScaleNormal="55" workbookViewId="0">
      <selection activeCell="A39" sqref="A39:B39"/>
    </sheetView>
  </sheetViews>
  <sheetFormatPr defaultRowHeight="14.5" x14ac:dyDescent="0.35"/>
  <cols>
    <col min="1" max="1" width="13.08984375" customWidth="1"/>
    <col min="2" max="2" width="15.26953125" customWidth="1"/>
    <col min="3" max="3" width="19.90625" customWidth="1"/>
    <col min="4" max="4" width="21.7265625" customWidth="1"/>
    <col min="5" max="5" width="10.36328125" bestFit="1" customWidth="1"/>
    <col min="6" max="6" width="13.36328125" customWidth="1"/>
  </cols>
  <sheetData>
    <row r="1" spans="1:6" ht="15.5" x14ac:dyDescent="0.3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</row>
    <row r="2" spans="1:6" x14ac:dyDescent="0.35">
      <c r="B2">
        <f>SUM('working data'!H:H)</f>
        <v>5019390</v>
      </c>
      <c r="C2">
        <f>COUNT('working data'!A:A)</f>
        <v>199</v>
      </c>
      <c r="D2">
        <f>B2/C2</f>
        <v>25223.065326633165</v>
      </c>
      <c r="E2">
        <f>MAX('working data'!H:H)</f>
        <v>135000</v>
      </c>
      <c r="F2">
        <f>MIN('working data'!H:H)</f>
        <v>120</v>
      </c>
    </row>
    <row r="5" spans="1:6" ht="15.5" x14ac:dyDescent="0.35">
      <c r="A5" s="5" t="s">
        <v>31</v>
      </c>
      <c r="B5" s="5" t="s">
        <v>32</v>
      </c>
    </row>
    <row r="6" spans="1:6" x14ac:dyDescent="0.35">
      <c r="A6" s="7" t="s">
        <v>37</v>
      </c>
      <c r="B6" s="7">
        <f>SUMIF('working data'!C:C,A6,'working data'!H:H)</f>
        <v>1362280</v>
      </c>
    </row>
    <row r="7" spans="1:6" x14ac:dyDescent="0.35">
      <c r="A7" s="7" t="s">
        <v>38</v>
      </c>
      <c r="B7" s="7">
        <f>SUMIF('working data'!C:C,A7,'working data'!H:H)</f>
        <v>1247230</v>
      </c>
    </row>
    <row r="8" spans="1:6" x14ac:dyDescent="0.35">
      <c r="A8" s="7" t="s">
        <v>39</v>
      </c>
      <c r="B8" s="7">
        <f>SUMIF('working data'!C:C,A8,'working data'!H:H)</f>
        <v>1009770</v>
      </c>
    </row>
    <row r="9" spans="1:6" x14ac:dyDescent="0.35">
      <c r="A9" s="7" t="s">
        <v>40</v>
      </c>
      <c r="B9" s="7">
        <f>SUMIF('working data'!C:C,A9,'working data'!H:H)</f>
        <v>1355110</v>
      </c>
    </row>
    <row r="10" spans="1:6" x14ac:dyDescent="0.35">
      <c r="A10" s="7" t="s">
        <v>24</v>
      </c>
      <c r="B10" s="7">
        <f>SUMIF('working data'!C:C,A10,'working data'!H:H)</f>
        <v>45000</v>
      </c>
    </row>
    <row r="11" spans="1:6" x14ac:dyDescent="0.35">
      <c r="A11" s="6" t="s">
        <v>33</v>
      </c>
      <c r="B11" s="6">
        <f>SUM(B6:B10)</f>
        <v>5019390</v>
      </c>
    </row>
    <row r="14" spans="1:6" x14ac:dyDescent="0.35">
      <c r="A14" s="8" t="s">
        <v>54</v>
      </c>
      <c r="B14" s="8" t="s">
        <v>32</v>
      </c>
    </row>
    <row r="15" spans="1:6" x14ac:dyDescent="0.35">
      <c r="A15" s="9" t="s">
        <v>20</v>
      </c>
      <c r="B15" s="10">
        <f>SUMIF('working data'!D:D,A15,'working data'!H:H)</f>
        <v>2160000</v>
      </c>
    </row>
    <row r="16" spans="1:6" x14ac:dyDescent="0.35">
      <c r="A16" s="10" t="s">
        <v>36</v>
      </c>
      <c r="B16" s="10">
        <f>SUMIF('working data'!D:D,A16,'working data'!H:H)</f>
        <v>684000</v>
      </c>
    </row>
    <row r="17" spans="1:2" x14ac:dyDescent="0.35">
      <c r="A17" s="11" t="s">
        <v>13</v>
      </c>
      <c r="B17" s="10">
        <f>SUMIF('working data'!D:D,A17,'working data'!H:H)</f>
        <v>294000</v>
      </c>
    </row>
    <row r="18" spans="1:2" x14ac:dyDescent="0.35">
      <c r="A18" s="11" t="s">
        <v>19</v>
      </c>
      <c r="B18" s="10">
        <f>SUMIF('working data'!D:D,A18,'working data'!H:H)</f>
        <v>806000</v>
      </c>
    </row>
    <row r="19" spans="1:2" x14ac:dyDescent="0.35">
      <c r="A19" s="9" t="s">
        <v>15</v>
      </c>
      <c r="B19" s="10">
        <f>SUMIF('working data'!D:D,A19,'working data'!H:H)</f>
        <v>774800</v>
      </c>
    </row>
    <row r="20" spans="1:2" x14ac:dyDescent="0.35">
      <c r="A20" s="11" t="s">
        <v>8</v>
      </c>
      <c r="B20" s="10">
        <f>SUMIF('working data'!D:D,A20,'working data'!H:H)</f>
        <v>31250</v>
      </c>
    </row>
    <row r="21" spans="1:2" x14ac:dyDescent="0.35">
      <c r="A21" s="9" t="s">
        <v>34</v>
      </c>
      <c r="B21" s="10">
        <f>SUMIF('working data'!D:D,A21,'working data'!H:H)</f>
        <v>12840</v>
      </c>
    </row>
    <row r="22" spans="1:2" x14ac:dyDescent="0.35">
      <c r="A22" s="9" t="s">
        <v>35</v>
      </c>
      <c r="B22" s="10">
        <f>SUMIF('working data'!D:D,A22,'working data'!H:H)</f>
        <v>256500</v>
      </c>
    </row>
    <row r="23" spans="1:2" x14ac:dyDescent="0.35">
      <c r="A23" s="12" t="s">
        <v>33</v>
      </c>
      <c r="B23" s="13">
        <f>SUM(B15:B22)</f>
        <v>5019390</v>
      </c>
    </row>
    <row r="26" spans="1:2" x14ac:dyDescent="0.35">
      <c r="A26" s="14" t="s">
        <v>55</v>
      </c>
      <c r="B26" s="15" t="s">
        <v>56</v>
      </c>
    </row>
    <row r="27" spans="1:2" x14ac:dyDescent="0.35">
      <c r="A27" s="16" t="s">
        <v>42</v>
      </c>
      <c r="B27" s="17">
        <f>SUMIF('working data'!I:I,A27,'working data'!H:H)</f>
        <v>453390</v>
      </c>
    </row>
    <row r="28" spans="1:2" x14ac:dyDescent="0.35">
      <c r="A28" s="16" t="s">
        <v>43</v>
      </c>
      <c r="B28" s="17">
        <f>SUMIF('working data'!I:I,A28,'working data'!H:H)</f>
        <v>447670</v>
      </c>
    </row>
    <row r="29" spans="1:2" x14ac:dyDescent="0.35">
      <c r="A29" s="16" t="s">
        <v>44</v>
      </c>
      <c r="B29" s="17">
        <f>SUMIF('working data'!I:I,A29,'working data'!H:H)</f>
        <v>231500</v>
      </c>
    </row>
    <row r="30" spans="1:2" x14ac:dyDescent="0.35">
      <c r="A30" s="16" t="s">
        <v>45</v>
      </c>
      <c r="B30" s="17">
        <f>SUMIF('working data'!I:I,A30,'working data'!H:H)</f>
        <v>529900</v>
      </c>
    </row>
    <row r="31" spans="1:2" x14ac:dyDescent="0.35">
      <c r="A31" s="16" t="s">
        <v>46</v>
      </c>
      <c r="B31" s="17">
        <f>SUMIF('working data'!I:I,A31,'working data'!H:H)</f>
        <v>606220</v>
      </c>
    </row>
    <row r="32" spans="1:2" x14ac:dyDescent="0.35">
      <c r="A32" s="16" t="s">
        <v>47</v>
      </c>
      <c r="B32" s="17">
        <f>SUMIF('working data'!I:I,A32,'working data'!H:H)</f>
        <v>298730</v>
      </c>
    </row>
    <row r="33" spans="1:2" x14ac:dyDescent="0.35">
      <c r="A33" s="16" t="s">
        <v>48</v>
      </c>
      <c r="B33" s="17">
        <f>SUMIF('working data'!I:I,A33,'working data'!H:H)</f>
        <v>448180</v>
      </c>
    </row>
    <row r="34" spans="1:2" x14ac:dyDescent="0.35">
      <c r="A34" s="16" t="s">
        <v>49</v>
      </c>
      <c r="B34" s="17">
        <f>SUMIF('working data'!I:I,A34,'working data'!H:H)</f>
        <v>513270</v>
      </c>
    </row>
    <row r="35" spans="1:2" x14ac:dyDescent="0.35">
      <c r="A35" s="16" t="s">
        <v>50</v>
      </c>
      <c r="B35" s="17">
        <f>SUMIF('working data'!I:I,A35,'working data'!H:H)</f>
        <v>641190</v>
      </c>
    </row>
    <row r="36" spans="1:2" x14ac:dyDescent="0.35">
      <c r="A36" s="16" t="s">
        <v>51</v>
      </c>
      <c r="B36" s="17">
        <f>SUMIF('working data'!I:I,A36,'working data'!H:H)</f>
        <v>346200</v>
      </c>
    </row>
    <row r="37" spans="1:2" x14ac:dyDescent="0.35">
      <c r="A37" s="16" t="s">
        <v>52</v>
      </c>
      <c r="B37" s="17">
        <f>SUMIF('working data'!I:I,A37,'working data'!H:H)</f>
        <v>258940</v>
      </c>
    </row>
    <row r="38" spans="1:2" x14ac:dyDescent="0.35">
      <c r="A38" s="16" t="s">
        <v>53</v>
      </c>
      <c r="B38" s="17">
        <f>SUMIF('working data'!I:I,A38,'working data'!H:H)</f>
        <v>244200</v>
      </c>
    </row>
    <row r="39" spans="1:2" x14ac:dyDescent="0.35">
      <c r="A39" s="18" t="s">
        <v>33</v>
      </c>
      <c r="B39" s="19">
        <f>SUM(B27:B38)</f>
        <v>5019390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79F1D-3AC7-453C-895F-B6A460555E2D}">
  <dimension ref="B1:I20"/>
  <sheetViews>
    <sheetView showGridLines="0" tabSelected="1" topLeftCell="A4" zoomScale="60" zoomScaleNormal="235" workbookViewId="0">
      <selection activeCell="V21" sqref="V21"/>
    </sheetView>
  </sheetViews>
  <sheetFormatPr defaultRowHeight="14.5" x14ac:dyDescent="0.35"/>
  <cols>
    <col min="2" max="2" width="8.90625" customWidth="1"/>
  </cols>
  <sheetData>
    <row r="1" spans="2:9" ht="23.5" x14ac:dyDescent="0.55000000000000004">
      <c r="B1" s="22" t="s">
        <v>57</v>
      </c>
      <c r="C1" s="22"/>
      <c r="D1" s="22"/>
    </row>
    <row r="3" spans="2:9" x14ac:dyDescent="0.35">
      <c r="B3" s="21" t="s">
        <v>32</v>
      </c>
      <c r="C3" s="21"/>
      <c r="D3" s="21" t="s">
        <v>67</v>
      </c>
      <c r="E3" s="21"/>
      <c r="F3" s="21" t="s">
        <v>59</v>
      </c>
      <c r="G3" s="21"/>
      <c r="H3" s="21" t="s">
        <v>58</v>
      </c>
      <c r="I3" s="21"/>
    </row>
    <row r="4" spans="2:9" x14ac:dyDescent="0.35">
      <c r="B4" s="21">
        <f>summary!B2</f>
        <v>5019390</v>
      </c>
      <c r="C4" s="21"/>
      <c r="D4" s="21">
        <f>summary!C2</f>
        <v>199</v>
      </c>
      <c r="E4" s="21"/>
      <c r="F4" s="21">
        <f>ROUND(summary!D2,0)</f>
        <v>25223</v>
      </c>
      <c r="G4" s="21"/>
      <c r="H4" s="21">
        <f>summary!E2</f>
        <v>135000</v>
      </c>
      <c r="I4" s="21"/>
    </row>
    <row r="20" s="20" customFormat="1" ht="26" x14ac:dyDescent="0.6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BBBBB-3FE7-48D3-A0AB-DCEDB588CB42}">
  <dimension ref="A1:A10"/>
  <sheetViews>
    <sheetView zoomScale="70" zoomScaleNormal="55" workbookViewId="0">
      <selection activeCell="A14" sqref="A14"/>
    </sheetView>
  </sheetViews>
  <sheetFormatPr defaultRowHeight="14.5" x14ac:dyDescent="0.35"/>
  <cols>
    <col min="1" max="1" width="171.26953125" customWidth="1"/>
    <col min="2" max="2" width="93.1796875" customWidth="1"/>
  </cols>
  <sheetData>
    <row r="1" spans="1:1" ht="33.5" x14ac:dyDescent="0.75">
      <c r="A1" s="24" t="s">
        <v>60</v>
      </c>
    </row>
    <row r="3" spans="1:1" ht="26" x14ac:dyDescent="0.6">
      <c r="A3" s="23" t="s">
        <v>61</v>
      </c>
    </row>
    <row r="4" spans="1:1" ht="26" x14ac:dyDescent="0.6">
      <c r="A4" s="23" t="s">
        <v>62</v>
      </c>
    </row>
    <row r="5" spans="1:1" ht="26" x14ac:dyDescent="0.6">
      <c r="A5" s="23" t="s">
        <v>63</v>
      </c>
    </row>
    <row r="6" spans="1:1" ht="26" x14ac:dyDescent="0.6">
      <c r="A6" s="23" t="s">
        <v>64</v>
      </c>
    </row>
    <row r="7" spans="1:1" ht="26" x14ac:dyDescent="0.6">
      <c r="A7" s="23" t="s">
        <v>65</v>
      </c>
    </row>
    <row r="8" spans="1:1" ht="26" x14ac:dyDescent="0.6">
      <c r="A8" s="23"/>
    </row>
    <row r="9" spans="1:1" ht="26" x14ac:dyDescent="0.6">
      <c r="A9" s="23" t="s">
        <v>66</v>
      </c>
    </row>
    <row r="10" spans="1:1" ht="26" x14ac:dyDescent="0.6">
      <c r="A10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4"/>
  <sheetViews>
    <sheetView workbookViewId="0">
      <pane ySplit="1" topLeftCell="A147" activePane="bottomLeft" state="frozen"/>
      <selection pane="bottomLeft"/>
    </sheetView>
  </sheetViews>
  <sheetFormatPr defaultRowHeight="14.5" x14ac:dyDescent="0.35"/>
  <cols>
    <col min="1" max="1" width="10" customWidth="1"/>
    <col min="2" max="2" width="13" customWidth="1"/>
    <col min="3" max="3" width="10" customWidth="1"/>
    <col min="4" max="4" width="16" customWidth="1"/>
    <col min="5" max="5" width="13" customWidth="1"/>
    <col min="6" max="6" width="10" customWidth="1"/>
    <col min="7" max="7" width="1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1001</v>
      </c>
      <c r="B2" s="3">
        <v>45658</v>
      </c>
      <c r="C2" s="2" t="s">
        <v>7</v>
      </c>
      <c r="D2" s="2" t="s">
        <v>8</v>
      </c>
      <c r="E2" s="2" t="s">
        <v>9</v>
      </c>
      <c r="F2" s="2">
        <v>7</v>
      </c>
      <c r="G2" s="2">
        <v>250</v>
      </c>
    </row>
    <row r="3" spans="1:7" x14ac:dyDescent="0.35">
      <c r="A3" s="2">
        <v>1002</v>
      </c>
      <c r="B3" s="3">
        <v>45658</v>
      </c>
      <c r="C3" s="2" t="s">
        <v>10</v>
      </c>
      <c r="D3" s="2" t="s">
        <v>11</v>
      </c>
      <c r="E3" s="2" t="s">
        <v>12</v>
      </c>
      <c r="F3" s="2">
        <v>2</v>
      </c>
      <c r="G3" s="2">
        <v>18000</v>
      </c>
    </row>
    <row r="4" spans="1:7" x14ac:dyDescent="0.35">
      <c r="A4" s="2">
        <v>1003</v>
      </c>
      <c r="B4" s="3">
        <v>45658</v>
      </c>
      <c r="C4" s="2" t="s">
        <v>7</v>
      </c>
      <c r="D4" s="2" t="s">
        <v>13</v>
      </c>
      <c r="E4" s="2" t="s">
        <v>12</v>
      </c>
      <c r="F4" s="2">
        <v>4</v>
      </c>
      <c r="G4" s="2">
        <v>2000</v>
      </c>
    </row>
    <row r="5" spans="1:7" x14ac:dyDescent="0.35">
      <c r="A5" s="2">
        <v>1004</v>
      </c>
      <c r="B5" s="3">
        <v>45659</v>
      </c>
      <c r="C5" s="2" t="s">
        <v>14</v>
      </c>
      <c r="D5" s="2" t="s">
        <v>15</v>
      </c>
      <c r="E5" s="2" t="s">
        <v>16</v>
      </c>
      <c r="F5" s="2">
        <v>6</v>
      </c>
      <c r="G5" s="2">
        <v>5200</v>
      </c>
    </row>
    <row r="6" spans="1:7" x14ac:dyDescent="0.35">
      <c r="A6" s="2">
        <v>1005</v>
      </c>
      <c r="B6" s="3">
        <v>45659</v>
      </c>
      <c r="C6" s="2" t="s">
        <v>7</v>
      </c>
      <c r="D6" s="2" t="s">
        <v>17</v>
      </c>
      <c r="E6" s="2" t="s">
        <v>18</v>
      </c>
      <c r="F6" s="2">
        <v>2</v>
      </c>
      <c r="G6" s="2">
        <v>1500</v>
      </c>
    </row>
    <row r="7" spans="1:7" x14ac:dyDescent="0.35">
      <c r="A7" s="2">
        <v>1006</v>
      </c>
      <c r="B7" s="3">
        <v>45660</v>
      </c>
      <c r="C7" s="2" t="s">
        <v>14</v>
      </c>
      <c r="D7" s="2" t="s">
        <v>13</v>
      </c>
      <c r="E7" s="2" t="s">
        <v>12</v>
      </c>
      <c r="F7" s="2">
        <v>7</v>
      </c>
      <c r="G7" s="2">
        <v>2000</v>
      </c>
    </row>
    <row r="8" spans="1:7" x14ac:dyDescent="0.35">
      <c r="A8" s="2">
        <v>1007</v>
      </c>
      <c r="B8" s="3">
        <v>45663</v>
      </c>
      <c r="C8" s="2" t="s">
        <v>10</v>
      </c>
      <c r="D8" s="2" t="s">
        <v>8</v>
      </c>
      <c r="E8" s="2" t="s">
        <v>9</v>
      </c>
      <c r="F8" s="2">
        <v>9</v>
      </c>
      <c r="G8" s="2">
        <v>250</v>
      </c>
    </row>
    <row r="9" spans="1:7" x14ac:dyDescent="0.35">
      <c r="A9" s="2">
        <v>1008</v>
      </c>
      <c r="B9" s="3">
        <v>45664</v>
      </c>
      <c r="C9" s="2" t="s">
        <v>10</v>
      </c>
      <c r="D9" s="2" t="s">
        <v>17</v>
      </c>
      <c r="E9" s="2" t="s">
        <v>18</v>
      </c>
      <c r="F9" s="2">
        <v>1</v>
      </c>
      <c r="G9" s="2">
        <v>1500</v>
      </c>
    </row>
    <row r="10" spans="1:7" x14ac:dyDescent="0.35">
      <c r="A10" s="2">
        <v>1009</v>
      </c>
      <c r="B10" s="3">
        <v>45667</v>
      </c>
      <c r="C10" s="2" t="s">
        <v>10</v>
      </c>
      <c r="D10" s="2" t="s">
        <v>8</v>
      </c>
      <c r="E10" s="2" t="s">
        <v>9</v>
      </c>
      <c r="F10" s="2">
        <v>9</v>
      </c>
      <c r="G10" s="2">
        <v>250</v>
      </c>
    </row>
    <row r="11" spans="1:7" x14ac:dyDescent="0.35">
      <c r="A11" s="2">
        <v>1010</v>
      </c>
      <c r="B11" s="3">
        <v>45667</v>
      </c>
      <c r="C11" s="2" t="s">
        <v>7</v>
      </c>
      <c r="D11" s="2" t="s">
        <v>15</v>
      </c>
      <c r="E11" s="2" t="s">
        <v>16</v>
      </c>
      <c r="F11" s="2">
        <v>1</v>
      </c>
      <c r="G11" s="2">
        <v>5200</v>
      </c>
    </row>
    <row r="12" spans="1:7" x14ac:dyDescent="0.35">
      <c r="A12" s="2">
        <v>1011</v>
      </c>
      <c r="B12" s="3">
        <v>45667</v>
      </c>
      <c r="C12" s="2" t="s">
        <v>10</v>
      </c>
      <c r="D12" s="2" t="s">
        <v>19</v>
      </c>
      <c r="E12" s="2" t="s">
        <v>16</v>
      </c>
      <c r="F12" s="2">
        <v>9</v>
      </c>
      <c r="G12" s="2">
        <v>6500</v>
      </c>
    </row>
    <row r="13" spans="1:7" x14ac:dyDescent="0.35">
      <c r="A13" s="2">
        <v>1012</v>
      </c>
      <c r="B13" s="3">
        <v>45668</v>
      </c>
      <c r="C13" s="2" t="s">
        <v>7</v>
      </c>
      <c r="D13" s="2" t="s">
        <v>20</v>
      </c>
      <c r="E13" s="2" t="s">
        <v>12</v>
      </c>
      <c r="F13" s="2">
        <v>3</v>
      </c>
      <c r="G13" s="2">
        <v>45000</v>
      </c>
    </row>
    <row r="14" spans="1:7" x14ac:dyDescent="0.35">
      <c r="A14" s="2">
        <v>1013</v>
      </c>
      <c r="B14" s="3">
        <v>45670</v>
      </c>
      <c r="C14" s="2" t="s">
        <v>10</v>
      </c>
      <c r="D14" s="2" t="s">
        <v>13</v>
      </c>
      <c r="E14" s="2" t="s">
        <v>12</v>
      </c>
      <c r="F14" s="2">
        <v>1</v>
      </c>
      <c r="G14" s="2">
        <v>2000</v>
      </c>
    </row>
    <row r="15" spans="1:7" x14ac:dyDescent="0.35">
      <c r="A15" s="2">
        <v>1014</v>
      </c>
      <c r="B15" s="3">
        <v>45672</v>
      </c>
      <c r="C15" s="2" t="s">
        <v>14</v>
      </c>
      <c r="D15" s="2" t="s">
        <v>15</v>
      </c>
      <c r="E15" s="2" t="s">
        <v>16</v>
      </c>
      <c r="F15" s="2">
        <v>8</v>
      </c>
      <c r="G15" s="2">
        <v>5200</v>
      </c>
    </row>
    <row r="16" spans="1:7" x14ac:dyDescent="0.35">
      <c r="A16" s="2">
        <v>1015</v>
      </c>
      <c r="B16" s="3">
        <v>45674</v>
      </c>
      <c r="C16" s="2" t="s">
        <v>10</v>
      </c>
      <c r="D16" s="2" t="s">
        <v>21</v>
      </c>
      <c r="E16" s="2" t="s">
        <v>9</v>
      </c>
      <c r="F16" s="2">
        <v>8</v>
      </c>
      <c r="G16" s="2">
        <v>120</v>
      </c>
    </row>
    <row r="17" spans="1:7" x14ac:dyDescent="0.35">
      <c r="A17" s="2">
        <v>1016</v>
      </c>
      <c r="B17" s="3">
        <v>45680</v>
      </c>
      <c r="C17" s="2" t="s">
        <v>22</v>
      </c>
      <c r="D17" s="2" t="s">
        <v>21</v>
      </c>
      <c r="E17" s="2" t="s">
        <v>9</v>
      </c>
      <c r="F17" s="2">
        <v>9</v>
      </c>
      <c r="G17" s="2">
        <v>120</v>
      </c>
    </row>
    <row r="18" spans="1:7" x14ac:dyDescent="0.35">
      <c r="A18" s="2">
        <v>1017</v>
      </c>
      <c r="B18" s="3">
        <v>45681</v>
      </c>
      <c r="C18" s="2" t="s">
        <v>22</v>
      </c>
      <c r="D18" s="2" t="s">
        <v>19</v>
      </c>
      <c r="E18" s="2" t="s">
        <v>16</v>
      </c>
      <c r="F18" s="2">
        <v>2</v>
      </c>
      <c r="G18" s="2">
        <v>6500</v>
      </c>
    </row>
    <row r="19" spans="1:7" x14ac:dyDescent="0.35">
      <c r="A19" s="2">
        <v>1018</v>
      </c>
      <c r="B19" s="3">
        <v>45683</v>
      </c>
      <c r="C19" s="2" t="s">
        <v>22</v>
      </c>
      <c r="D19" s="2" t="s">
        <v>19</v>
      </c>
      <c r="E19" s="2" t="s">
        <v>16</v>
      </c>
      <c r="F19" s="2">
        <v>1</v>
      </c>
      <c r="G19" s="2">
        <v>6500</v>
      </c>
    </row>
    <row r="20" spans="1:7" x14ac:dyDescent="0.35">
      <c r="A20" s="2">
        <v>1019</v>
      </c>
      <c r="B20" s="3">
        <v>45683</v>
      </c>
      <c r="C20" s="2" t="s">
        <v>10</v>
      </c>
      <c r="D20" s="2" t="s">
        <v>13</v>
      </c>
      <c r="E20" s="2" t="s">
        <v>12</v>
      </c>
      <c r="F20" s="2">
        <v>3</v>
      </c>
      <c r="G20" s="2">
        <v>2000</v>
      </c>
    </row>
    <row r="21" spans="1:7" x14ac:dyDescent="0.35">
      <c r="A21" s="2">
        <v>1020</v>
      </c>
      <c r="B21" s="3">
        <v>45684</v>
      </c>
      <c r="C21" s="2" t="s">
        <v>22</v>
      </c>
      <c r="D21" s="2" t="s">
        <v>15</v>
      </c>
      <c r="E21" s="2" t="s">
        <v>16</v>
      </c>
      <c r="F21" s="2">
        <v>3</v>
      </c>
      <c r="G21" s="2">
        <v>5200</v>
      </c>
    </row>
    <row r="22" spans="1:7" x14ac:dyDescent="0.35">
      <c r="A22" s="2">
        <v>1021</v>
      </c>
      <c r="B22" s="3">
        <v>45686</v>
      </c>
      <c r="C22" s="2" t="s">
        <v>10</v>
      </c>
      <c r="D22" s="2" t="s">
        <v>11</v>
      </c>
      <c r="E22" s="2" t="s">
        <v>12</v>
      </c>
      <c r="F22" s="2">
        <v>3</v>
      </c>
      <c r="G22" s="2">
        <v>18000</v>
      </c>
    </row>
    <row r="23" spans="1:7" x14ac:dyDescent="0.35">
      <c r="A23" s="2">
        <v>1022</v>
      </c>
      <c r="B23" s="3">
        <v>45687</v>
      </c>
      <c r="C23" s="2" t="s">
        <v>7</v>
      </c>
      <c r="D23" s="2" t="s">
        <v>13</v>
      </c>
      <c r="E23" s="2" t="s">
        <v>12</v>
      </c>
      <c r="F23" s="2">
        <v>7</v>
      </c>
      <c r="G23" s="2">
        <v>2000</v>
      </c>
    </row>
    <row r="24" spans="1:7" x14ac:dyDescent="0.35">
      <c r="A24" s="2">
        <v>1023</v>
      </c>
      <c r="B24" s="3">
        <v>45689</v>
      </c>
      <c r="C24" s="2" t="s">
        <v>22</v>
      </c>
      <c r="D24" s="2" t="s">
        <v>19</v>
      </c>
      <c r="E24" s="2" t="s">
        <v>16</v>
      </c>
      <c r="F24" s="2">
        <v>2</v>
      </c>
      <c r="G24" s="2">
        <v>6500</v>
      </c>
    </row>
    <row r="25" spans="1:7" x14ac:dyDescent="0.35">
      <c r="A25" s="2">
        <v>1024</v>
      </c>
      <c r="B25" s="3">
        <v>45692</v>
      </c>
      <c r="C25" s="2" t="s">
        <v>10</v>
      </c>
      <c r="D25" s="2" t="s">
        <v>15</v>
      </c>
      <c r="E25" s="2" t="s">
        <v>16</v>
      </c>
      <c r="F25" s="2">
        <v>2</v>
      </c>
      <c r="G25" s="2">
        <v>5200</v>
      </c>
    </row>
    <row r="26" spans="1:7" x14ac:dyDescent="0.35">
      <c r="A26" s="2">
        <v>1025</v>
      </c>
      <c r="B26" s="3">
        <v>45693</v>
      </c>
      <c r="C26" s="2" t="s">
        <v>10</v>
      </c>
      <c r="D26" s="2" t="s">
        <v>11</v>
      </c>
      <c r="E26" s="2" t="s">
        <v>12</v>
      </c>
      <c r="F26" s="2">
        <v>2</v>
      </c>
      <c r="G26" s="2">
        <v>18000</v>
      </c>
    </row>
    <row r="27" spans="1:7" x14ac:dyDescent="0.35">
      <c r="A27" s="2">
        <v>1026</v>
      </c>
      <c r="B27" s="3">
        <v>45694</v>
      </c>
      <c r="C27" s="2" t="s">
        <v>22</v>
      </c>
      <c r="D27" s="2" t="s">
        <v>15</v>
      </c>
      <c r="E27" s="2" t="s">
        <v>16</v>
      </c>
      <c r="F27" s="2">
        <v>7</v>
      </c>
      <c r="G27" s="2">
        <v>5200</v>
      </c>
    </row>
    <row r="28" spans="1:7" x14ac:dyDescent="0.35">
      <c r="A28" s="2">
        <v>1027</v>
      </c>
      <c r="B28" s="3">
        <v>45695</v>
      </c>
      <c r="C28" s="2" t="s">
        <v>7</v>
      </c>
      <c r="D28" s="2" t="s">
        <v>11</v>
      </c>
      <c r="E28" s="2" t="s">
        <v>12</v>
      </c>
      <c r="F28" s="2">
        <v>2</v>
      </c>
      <c r="G28" s="2">
        <v>18000</v>
      </c>
    </row>
    <row r="29" spans="1:7" x14ac:dyDescent="0.35">
      <c r="A29" s="2">
        <v>1028</v>
      </c>
      <c r="B29" s="3">
        <v>45697</v>
      </c>
      <c r="C29" s="2" t="s">
        <v>10</v>
      </c>
      <c r="D29" s="2" t="s">
        <v>17</v>
      </c>
      <c r="E29" s="2" t="s">
        <v>18</v>
      </c>
      <c r="F29" s="2">
        <v>5</v>
      </c>
      <c r="G29" s="2">
        <v>1500</v>
      </c>
    </row>
    <row r="30" spans="1:7" x14ac:dyDescent="0.35">
      <c r="A30" s="2">
        <v>1029</v>
      </c>
      <c r="B30" s="3">
        <v>45699</v>
      </c>
      <c r="C30" s="2" t="s">
        <v>10</v>
      </c>
      <c r="D30" s="2" t="s">
        <v>20</v>
      </c>
      <c r="E30" s="2" t="s">
        <v>12</v>
      </c>
      <c r="F30" s="2">
        <v>3</v>
      </c>
      <c r="G30" s="2">
        <v>45000</v>
      </c>
    </row>
    <row r="31" spans="1:7" x14ac:dyDescent="0.35">
      <c r="A31" s="2">
        <v>1030</v>
      </c>
      <c r="B31" s="3">
        <v>45700</v>
      </c>
      <c r="C31" s="2" t="s">
        <v>22</v>
      </c>
      <c r="D31" s="2" t="s">
        <v>13</v>
      </c>
      <c r="E31" s="2" t="s">
        <v>12</v>
      </c>
      <c r="F31" s="2">
        <v>3</v>
      </c>
      <c r="G31" s="2">
        <v>2000</v>
      </c>
    </row>
    <row r="32" spans="1:7" x14ac:dyDescent="0.35">
      <c r="A32" s="2">
        <v>1031</v>
      </c>
      <c r="B32" s="3">
        <v>45701</v>
      </c>
      <c r="C32" s="2"/>
      <c r="D32" s="2" t="s">
        <v>20</v>
      </c>
      <c r="E32" s="2" t="s">
        <v>12</v>
      </c>
      <c r="F32" s="2">
        <v>1</v>
      </c>
      <c r="G32" s="2">
        <v>45000</v>
      </c>
    </row>
    <row r="33" spans="1:7" x14ac:dyDescent="0.35">
      <c r="A33" s="2">
        <v>1032</v>
      </c>
      <c r="B33" s="3">
        <v>45703</v>
      </c>
      <c r="C33" s="2" t="s">
        <v>7</v>
      </c>
      <c r="D33" s="2" t="s">
        <v>13</v>
      </c>
      <c r="E33" s="2" t="s">
        <v>12</v>
      </c>
      <c r="F33" s="2">
        <v>7</v>
      </c>
      <c r="G33" s="2">
        <v>2000</v>
      </c>
    </row>
    <row r="34" spans="1:7" x14ac:dyDescent="0.35">
      <c r="A34" s="2">
        <v>1033</v>
      </c>
      <c r="B34" s="3">
        <v>45704</v>
      </c>
      <c r="C34" s="2" t="s">
        <v>7</v>
      </c>
      <c r="D34" s="2" t="s">
        <v>21</v>
      </c>
      <c r="E34" s="2" t="s">
        <v>9</v>
      </c>
      <c r="F34" s="2">
        <v>1</v>
      </c>
      <c r="G34" s="2">
        <v>120</v>
      </c>
    </row>
    <row r="35" spans="1:7" x14ac:dyDescent="0.35">
      <c r="A35" s="2">
        <v>1034</v>
      </c>
      <c r="B35" s="3">
        <v>45710</v>
      </c>
      <c r="C35" s="2" t="s">
        <v>7</v>
      </c>
      <c r="D35" s="2" t="s">
        <v>19</v>
      </c>
      <c r="E35" s="2" t="s">
        <v>16</v>
      </c>
      <c r="F35" s="2">
        <v>6</v>
      </c>
      <c r="G35" s="2">
        <v>6500</v>
      </c>
    </row>
    <row r="36" spans="1:7" x14ac:dyDescent="0.35">
      <c r="A36" s="2">
        <v>1035</v>
      </c>
      <c r="B36" s="3">
        <v>45710</v>
      </c>
      <c r="C36" s="2" t="s">
        <v>10</v>
      </c>
      <c r="D36" s="2" t="s">
        <v>8</v>
      </c>
      <c r="E36" s="2" t="s">
        <v>9</v>
      </c>
      <c r="F36" s="2">
        <v>5</v>
      </c>
      <c r="G36" s="2">
        <v>250</v>
      </c>
    </row>
    <row r="37" spans="1:7" x14ac:dyDescent="0.35">
      <c r="A37" s="2">
        <v>1036</v>
      </c>
      <c r="B37" s="3">
        <v>45712</v>
      </c>
      <c r="C37" s="2" t="s">
        <v>22</v>
      </c>
      <c r="D37" s="2" t="s">
        <v>20</v>
      </c>
      <c r="E37" s="2" t="s">
        <v>12</v>
      </c>
      <c r="F37" s="2">
        <v>1</v>
      </c>
      <c r="G37" s="2">
        <v>45000</v>
      </c>
    </row>
    <row r="38" spans="1:7" x14ac:dyDescent="0.35">
      <c r="A38" s="2">
        <v>1037</v>
      </c>
      <c r="B38" s="3">
        <v>45714</v>
      </c>
      <c r="C38" s="2" t="s">
        <v>7</v>
      </c>
      <c r="D38" s="2" t="s">
        <v>13</v>
      </c>
      <c r="E38" s="2" t="s">
        <v>12</v>
      </c>
      <c r="F38" s="2">
        <v>5</v>
      </c>
      <c r="G38" s="2">
        <v>2000</v>
      </c>
    </row>
    <row r="39" spans="1:7" x14ac:dyDescent="0.35">
      <c r="A39" s="2">
        <v>1038</v>
      </c>
      <c r="B39" s="3">
        <v>45715</v>
      </c>
      <c r="C39" s="2" t="s">
        <v>7</v>
      </c>
      <c r="D39" s="2" t="s">
        <v>19</v>
      </c>
      <c r="E39" s="2" t="s">
        <v>16</v>
      </c>
      <c r="F39" s="2">
        <v>2</v>
      </c>
      <c r="G39" s="2">
        <v>6500</v>
      </c>
    </row>
    <row r="40" spans="1:7" x14ac:dyDescent="0.35">
      <c r="A40" s="2">
        <v>1039</v>
      </c>
      <c r="B40" s="3">
        <v>45717</v>
      </c>
      <c r="C40" s="2" t="s">
        <v>10</v>
      </c>
      <c r="D40" s="2" t="s">
        <v>17</v>
      </c>
      <c r="E40" s="2" t="s">
        <v>18</v>
      </c>
      <c r="F40" s="2">
        <v>8</v>
      </c>
      <c r="G40" s="2">
        <v>1500</v>
      </c>
    </row>
    <row r="41" spans="1:7" x14ac:dyDescent="0.35">
      <c r="A41" s="2">
        <v>1040</v>
      </c>
      <c r="B41" s="3">
        <v>45719</v>
      </c>
      <c r="C41" s="2" t="s">
        <v>7</v>
      </c>
      <c r="D41" s="2" t="s">
        <v>13</v>
      </c>
      <c r="E41" s="2" t="s">
        <v>12</v>
      </c>
      <c r="F41" s="2">
        <v>3</v>
      </c>
      <c r="G41" s="2">
        <v>2000</v>
      </c>
    </row>
    <row r="42" spans="1:7" x14ac:dyDescent="0.35">
      <c r="A42" s="2">
        <v>1041</v>
      </c>
      <c r="B42" s="3">
        <v>45722</v>
      </c>
      <c r="C42" s="2" t="s">
        <v>14</v>
      </c>
      <c r="D42" s="2" t="s">
        <v>19</v>
      </c>
      <c r="E42" s="2" t="s">
        <v>16</v>
      </c>
      <c r="F42" s="2">
        <v>2</v>
      </c>
      <c r="G42" s="2">
        <v>6500</v>
      </c>
    </row>
    <row r="43" spans="1:7" x14ac:dyDescent="0.35">
      <c r="A43" s="2">
        <v>1042</v>
      </c>
      <c r="B43" s="3">
        <v>45724</v>
      </c>
      <c r="C43" s="2" t="s">
        <v>10</v>
      </c>
      <c r="D43" s="2" t="s">
        <v>19</v>
      </c>
      <c r="E43" s="2" t="s">
        <v>16</v>
      </c>
      <c r="F43" s="2">
        <v>7</v>
      </c>
      <c r="G43" s="2">
        <v>6500</v>
      </c>
    </row>
    <row r="44" spans="1:7" x14ac:dyDescent="0.35">
      <c r="A44" s="2">
        <v>1043</v>
      </c>
      <c r="B44" s="3">
        <v>45728</v>
      </c>
      <c r="C44" s="2" t="s">
        <v>7</v>
      </c>
      <c r="D44" s="2" t="s">
        <v>17</v>
      </c>
      <c r="E44" s="2" t="s">
        <v>18</v>
      </c>
      <c r="F44" s="2">
        <v>4</v>
      </c>
      <c r="G44" s="2">
        <v>1500</v>
      </c>
    </row>
    <row r="45" spans="1:7" x14ac:dyDescent="0.35">
      <c r="A45" s="2">
        <v>1044</v>
      </c>
      <c r="B45" s="3">
        <v>45729</v>
      </c>
      <c r="C45" s="2" t="s">
        <v>7</v>
      </c>
      <c r="D45" s="2" t="s">
        <v>19</v>
      </c>
      <c r="E45" s="2" t="s">
        <v>16</v>
      </c>
      <c r="F45" s="2">
        <v>4</v>
      </c>
      <c r="G45" s="2">
        <v>6500</v>
      </c>
    </row>
    <row r="46" spans="1:7" x14ac:dyDescent="0.35">
      <c r="A46" s="2">
        <v>1045</v>
      </c>
      <c r="B46" s="3">
        <v>45730</v>
      </c>
      <c r="C46" s="2" t="s">
        <v>7</v>
      </c>
      <c r="D46" s="2" t="s">
        <v>17</v>
      </c>
      <c r="E46" s="2" t="s">
        <v>18</v>
      </c>
      <c r="F46" s="2">
        <v>10</v>
      </c>
      <c r="G46" s="2">
        <v>1500</v>
      </c>
    </row>
    <row r="47" spans="1:7" x14ac:dyDescent="0.35">
      <c r="A47" s="2">
        <v>1046</v>
      </c>
      <c r="B47" s="3">
        <v>45730</v>
      </c>
      <c r="C47" s="2" t="s">
        <v>22</v>
      </c>
      <c r="D47" s="2" t="s">
        <v>15</v>
      </c>
      <c r="E47" s="2" t="s">
        <v>16</v>
      </c>
      <c r="F47" s="2">
        <v>6</v>
      </c>
      <c r="G47" s="2">
        <v>5200</v>
      </c>
    </row>
    <row r="48" spans="1:7" x14ac:dyDescent="0.35">
      <c r="A48" s="2">
        <v>1047</v>
      </c>
      <c r="B48" s="3">
        <v>45730</v>
      </c>
      <c r="C48" s="2" t="s">
        <v>10</v>
      </c>
      <c r="D48" s="2" t="s">
        <v>21</v>
      </c>
      <c r="E48" s="2" t="s">
        <v>9</v>
      </c>
      <c r="F48" s="2">
        <v>6</v>
      </c>
      <c r="G48" s="2">
        <v>120</v>
      </c>
    </row>
    <row r="49" spans="1:7" x14ac:dyDescent="0.35">
      <c r="A49" s="2">
        <v>1048</v>
      </c>
      <c r="B49" s="3">
        <v>45734</v>
      </c>
      <c r="C49" s="2" t="s">
        <v>22</v>
      </c>
      <c r="D49" s="2" t="s">
        <v>15</v>
      </c>
      <c r="E49" s="2" t="s">
        <v>16</v>
      </c>
      <c r="F49" s="2">
        <v>10</v>
      </c>
      <c r="G49" s="2">
        <v>5200</v>
      </c>
    </row>
    <row r="50" spans="1:7" x14ac:dyDescent="0.35">
      <c r="A50" s="2">
        <v>1049</v>
      </c>
      <c r="B50" s="3">
        <v>45737</v>
      </c>
      <c r="C50" s="2" t="s">
        <v>7</v>
      </c>
      <c r="D50" s="2" t="s">
        <v>13</v>
      </c>
      <c r="E50" s="2" t="s">
        <v>12</v>
      </c>
      <c r="F50" s="2">
        <v>9</v>
      </c>
      <c r="G50" s="2">
        <v>2000</v>
      </c>
    </row>
    <row r="51" spans="1:7" x14ac:dyDescent="0.35">
      <c r="A51" s="2">
        <v>1050</v>
      </c>
      <c r="B51" s="3">
        <v>45740</v>
      </c>
      <c r="C51" s="2" t="s">
        <v>10</v>
      </c>
      <c r="D51" s="2" t="s">
        <v>21</v>
      </c>
      <c r="E51" s="2" t="s">
        <v>9</v>
      </c>
      <c r="F51" s="2">
        <v>9</v>
      </c>
      <c r="G51" s="2">
        <v>120</v>
      </c>
    </row>
    <row r="52" spans="1:7" x14ac:dyDescent="0.35">
      <c r="A52" s="2">
        <v>1051</v>
      </c>
      <c r="B52" s="3">
        <v>45742</v>
      </c>
      <c r="C52" s="2" t="s">
        <v>10</v>
      </c>
      <c r="D52" s="2" t="s">
        <v>8</v>
      </c>
      <c r="E52" s="2" t="s">
        <v>9</v>
      </c>
      <c r="F52" s="2">
        <v>3</v>
      </c>
      <c r="G52" s="2">
        <v>250</v>
      </c>
    </row>
    <row r="53" spans="1:7" x14ac:dyDescent="0.35">
      <c r="A53" s="2">
        <v>1052</v>
      </c>
      <c r="B53" s="3">
        <v>45745</v>
      </c>
      <c r="C53" s="2" t="s">
        <v>22</v>
      </c>
      <c r="D53" s="2" t="s">
        <v>13</v>
      </c>
      <c r="E53" s="2" t="s">
        <v>12</v>
      </c>
      <c r="F53" s="2">
        <v>1</v>
      </c>
      <c r="G53" s="2">
        <v>2000</v>
      </c>
    </row>
    <row r="54" spans="1:7" x14ac:dyDescent="0.35">
      <c r="A54" s="2">
        <v>1053</v>
      </c>
      <c r="B54" s="3">
        <v>45747</v>
      </c>
      <c r="C54" s="2" t="s">
        <v>7</v>
      </c>
      <c r="D54" s="2" t="s">
        <v>8</v>
      </c>
      <c r="E54" s="2" t="s">
        <v>9</v>
      </c>
      <c r="F54" s="2">
        <v>9</v>
      </c>
      <c r="G54" s="2">
        <v>250</v>
      </c>
    </row>
    <row r="55" spans="1:7" x14ac:dyDescent="0.35">
      <c r="A55" s="2">
        <v>1054</v>
      </c>
      <c r="B55" s="3">
        <v>45750</v>
      </c>
      <c r="C55" s="2" t="s">
        <v>14</v>
      </c>
      <c r="D55" s="2" t="s">
        <v>19</v>
      </c>
      <c r="E55" s="2" t="s">
        <v>16</v>
      </c>
      <c r="F55" s="2">
        <v>5</v>
      </c>
      <c r="G55" s="2">
        <v>6500</v>
      </c>
    </row>
    <row r="56" spans="1:7" x14ac:dyDescent="0.35">
      <c r="A56" s="2">
        <v>1055</v>
      </c>
      <c r="B56" s="3">
        <v>45752</v>
      </c>
      <c r="C56" s="2" t="s">
        <v>10</v>
      </c>
      <c r="D56" s="2" t="s">
        <v>13</v>
      </c>
      <c r="E56" s="2" t="s">
        <v>12</v>
      </c>
      <c r="F56" s="2">
        <v>5</v>
      </c>
      <c r="G56" s="2">
        <v>2000</v>
      </c>
    </row>
    <row r="57" spans="1:7" x14ac:dyDescent="0.35">
      <c r="A57" s="2">
        <v>1056</v>
      </c>
      <c r="B57" s="3">
        <v>45755</v>
      </c>
      <c r="C57" s="2" t="s">
        <v>7</v>
      </c>
      <c r="D57" s="2" t="s">
        <v>8</v>
      </c>
      <c r="E57" s="2" t="s">
        <v>9</v>
      </c>
      <c r="F57" s="2">
        <v>7</v>
      </c>
      <c r="G57" s="2">
        <v>250</v>
      </c>
    </row>
    <row r="58" spans="1:7" x14ac:dyDescent="0.35">
      <c r="A58" s="2">
        <v>1057</v>
      </c>
      <c r="B58" s="3">
        <v>45757</v>
      </c>
      <c r="C58" s="2" t="s">
        <v>14</v>
      </c>
      <c r="D58" s="2" t="s">
        <v>8</v>
      </c>
      <c r="E58" s="2" t="s">
        <v>9</v>
      </c>
      <c r="F58" s="2">
        <v>8</v>
      </c>
      <c r="G58" s="2">
        <v>250</v>
      </c>
    </row>
    <row r="59" spans="1:7" x14ac:dyDescent="0.35">
      <c r="A59" s="2">
        <v>1058</v>
      </c>
      <c r="B59" s="3">
        <v>45758</v>
      </c>
      <c r="C59" s="2" t="s">
        <v>14</v>
      </c>
      <c r="D59" s="2" t="s">
        <v>20</v>
      </c>
      <c r="E59" s="2" t="s">
        <v>12</v>
      </c>
      <c r="F59" s="2">
        <v>3</v>
      </c>
      <c r="G59" s="2">
        <v>45000</v>
      </c>
    </row>
    <row r="60" spans="1:7" x14ac:dyDescent="0.35">
      <c r="A60" s="2">
        <v>1059</v>
      </c>
      <c r="B60" s="3">
        <v>45762</v>
      </c>
      <c r="C60" s="2" t="s">
        <v>7</v>
      </c>
      <c r="D60" s="2" t="s">
        <v>17</v>
      </c>
      <c r="E60" s="2" t="s">
        <v>18</v>
      </c>
      <c r="F60" s="2">
        <v>10</v>
      </c>
      <c r="G60" s="2">
        <v>1500</v>
      </c>
    </row>
    <row r="61" spans="1:7" x14ac:dyDescent="0.35">
      <c r="A61" s="2">
        <v>1060</v>
      </c>
      <c r="B61" s="3">
        <v>45763</v>
      </c>
      <c r="C61" s="2" t="s">
        <v>7</v>
      </c>
      <c r="D61" s="2" t="s">
        <v>8</v>
      </c>
      <c r="E61" s="2" t="s">
        <v>9</v>
      </c>
      <c r="F61" s="2">
        <v>3</v>
      </c>
      <c r="G61" s="2">
        <v>250</v>
      </c>
    </row>
    <row r="62" spans="1:7" x14ac:dyDescent="0.35">
      <c r="A62" s="2">
        <v>1061</v>
      </c>
      <c r="B62" s="3">
        <v>45763</v>
      </c>
      <c r="C62" s="2" t="s">
        <v>10</v>
      </c>
      <c r="D62" s="2" t="s">
        <v>19</v>
      </c>
      <c r="E62" s="2" t="s">
        <v>16</v>
      </c>
      <c r="F62" s="2">
        <v>8</v>
      </c>
      <c r="G62" s="2">
        <v>6500</v>
      </c>
    </row>
    <row r="63" spans="1:7" x14ac:dyDescent="0.35">
      <c r="A63" s="2">
        <v>1062</v>
      </c>
      <c r="B63" s="3">
        <v>45764</v>
      </c>
      <c r="C63" s="2" t="s">
        <v>22</v>
      </c>
      <c r="D63" s="2" t="s">
        <v>17</v>
      </c>
      <c r="E63" s="2" t="s">
        <v>18</v>
      </c>
      <c r="F63" s="2">
        <v>9</v>
      </c>
      <c r="G63" s="2">
        <v>1500</v>
      </c>
    </row>
    <row r="64" spans="1:7" x14ac:dyDescent="0.35">
      <c r="A64" s="2">
        <v>1063</v>
      </c>
      <c r="B64" s="3">
        <v>45765</v>
      </c>
      <c r="C64" s="2" t="s">
        <v>7</v>
      </c>
      <c r="D64" s="2" t="s">
        <v>19</v>
      </c>
      <c r="E64" s="2" t="s">
        <v>16</v>
      </c>
      <c r="F64" s="2">
        <v>2</v>
      </c>
      <c r="G64" s="2">
        <v>6500</v>
      </c>
    </row>
    <row r="65" spans="1:7" x14ac:dyDescent="0.35">
      <c r="A65" s="2">
        <v>1064</v>
      </c>
      <c r="B65" s="3">
        <v>45766</v>
      </c>
      <c r="C65" s="2" t="s">
        <v>22</v>
      </c>
      <c r="D65" s="2" t="s">
        <v>20</v>
      </c>
      <c r="E65" s="2" t="s">
        <v>12</v>
      </c>
      <c r="F65" s="2">
        <v>2</v>
      </c>
      <c r="G65" s="2">
        <v>45000</v>
      </c>
    </row>
    <row r="66" spans="1:7" x14ac:dyDescent="0.35">
      <c r="A66" s="2">
        <v>1065</v>
      </c>
      <c r="B66" s="3">
        <v>45766</v>
      </c>
      <c r="C66" s="2" t="s">
        <v>22</v>
      </c>
      <c r="D66" s="2" t="s">
        <v>15</v>
      </c>
      <c r="E66" s="2" t="s">
        <v>16</v>
      </c>
      <c r="F66" s="2">
        <v>2</v>
      </c>
      <c r="G66" s="2">
        <v>5200</v>
      </c>
    </row>
    <row r="67" spans="1:7" x14ac:dyDescent="0.35">
      <c r="A67" s="2">
        <v>1066</v>
      </c>
      <c r="B67" s="3">
        <v>45772</v>
      </c>
      <c r="C67" s="2" t="s">
        <v>10</v>
      </c>
      <c r="D67" s="2" t="s">
        <v>20</v>
      </c>
      <c r="E67" s="2" t="s">
        <v>12</v>
      </c>
      <c r="F67" s="2">
        <v>3</v>
      </c>
      <c r="G67" s="2">
        <v>45000</v>
      </c>
    </row>
    <row r="68" spans="1:7" x14ac:dyDescent="0.35">
      <c r="A68" s="2">
        <v>1067</v>
      </c>
      <c r="B68" s="3">
        <v>45772</v>
      </c>
      <c r="C68" s="2" t="s">
        <v>22</v>
      </c>
      <c r="D68" s="2" t="s">
        <v>8</v>
      </c>
      <c r="E68" s="2" t="s">
        <v>9</v>
      </c>
      <c r="F68" s="2">
        <v>4</v>
      </c>
      <c r="G68" s="2">
        <v>250</v>
      </c>
    </row>
    <row r="69" spans="1:7" x14ac:dyDescent="0.35">
      <c r="A69" s="2">
        <v>1068</v>
      </c>
      <c r="B69" s="3">
        <v>45774</v>
      </c>
      <c r="C69" s="2" t="s">
        <v>14</v>
      </c>
      <c r="D69" s="2" t="s">
        <v>17</v>
      </c>
      <c r="E69" s="2" t="s">
        <v>18</v>
      </c>
      <c r="F69" s="2">
        <v>4</v>
      </c>
      <c r="G69" s="2">
        <v>1500</v>
      </c>
    </row>
    <row r="70" spans="1:7" x14ac:dyDescent="0.35">
      <c r="A70" s="2">
        <v>1069</v>
      </c>
      <c r="B70" s="3">
        <v>45776</v>
      </c>
      <c r="C70" s="2" t="s">
        <v>10</v>
      </c>
      <c r="D70" s="2" t="s">
        <v>17</v>
      </c>
      <c r="E70" s="2" t="s">
        <v>18</v>
      </c>
      <c r="F70" s="2">
        <v>8</v>
      </c>
      <c r="G70" s="2">
        <v>1500</v>
      </c>
    </row>
    <row r="71" spans="1:7" x14ac:dyDescent="0.35">
      <c r="A71" s="2">
        <v>1070</v>
      </c>
      <c r="B71" s="3">
        <v>45780</v>
      </c>
      <c r="C71" s="2" t="s">
        <v>22</v>
      </c>
      <c r="D71" s="2" t="s">
        <v>21</v>
      </c>
      <c r="E71" s="2" t="s">
        <v>9</v>
      </c>
      <c r="F71" s="2">
        <v>4</v>
      </c>
      <c r="G71" s="2">
        <v>120</v>
      </c>
    </row>
    <row r="72" spans="1:7" x14ac:dyDescent="0.35">
      <c r="A72" s="2">
        <v>1071</v>
      </c>
      <c r="B72" s="3">
        <v>45783</v>
      </c>
      <c r="C72" s="2" t="s">
        <v>10</v>
      </c>
      <c r="D72" s="2" t="s">
        <v>17</v>
      </c>
      <c r="E72" s="2" t="s">
        <v>18</v>
      </c>
      <c r="F72" s="2">
        <v>2</v>
      </c>
      <c r="G72" s="2">
        <v>1500</v>
      </c>
    </row>
    <row r="73" spans="1:7" x14ac:dyDescent="0.35">
      <c r="A73" s="2">
        <v>1072</v>
      </c>
      <c r="B73" s="3">
        <v>45785</v>
      </c>
      <c r="C73" s="2" t="s">
        <v>14</v>
      </c>
      <c r="D73" s="2" t="s">
        <v>20</v>
      </c>
      <c r="E73" s="2" t="s">
        <v>12</v>
      </c>
      <c r="F73" s="2">
        <v>1</v>
      </c>
      <c r="G73" s="2">
        <v>45000</v>
      </c>
    </row>
    <row r="74" spans="1:7" x14ac:dyDescent="0.35">
      <c r="A74" s="2">
        <v>1073</v>
      </c>
      <c r="B74" s="3">
        <v>45785</v>
      </c>
      <c r="C74" s="2" t="s">
        <v>10</v>
      </c>
      <c r="D74" s="2" t="s">
        <v>21</v>
      </c>
      <c r="E74" s="2" t="s">
        <v>9</v>
      </c>
      <c r="F74" s="2">
        <v>7</v>
      </c>
      <c r="G74" s="2">
        <v>120</v>
      </c>
    </row>
    <row r="75" spans="1:7" x14ac:dyDescent="0.35">
      <c r="A75" s="2">
        <v>1074</v>
      </c>
      <c r="B75" s="3">
        <v>45787</v>
      </c>
      <c r="C75" s="2" t="s">
        <v>22</v>
      </c>
      <c r="D75" s="2" t="s">
        <v>11</v>
      </c>
      <c r="E75" s="2" t="s">
        <v>12</v>
      </c>
      <c r="F75" s="2">
        <v>2</v>
      </c>
      <c r="G75" s="2">
        <v>18000</v>
      </c>
    </row>
    <row r="76" spans="1:7" x14ac:dyDescent="0.35">
      <c r="A76" s="2">
        <v>1075</v>
      </c>
      <c r="B76" s="3">
        <v>45787</v>
      </c>
      <c r="C76" s="2" t="s">
        <v>10</v>
      </c>
      <c r="D76" s="2" t="s">
        <v>8</v>
      </c>
      <c r="E76" s="2" t="s">
        <v>9</v>
      </c>
      <c r="F76" s="2">
        <v>2</v>
      </c>
      <c r="G76" s="2">
        <v>250</v>
      </c>
    </row>
    <row r="77" spans="1:7" x14ac:dyDescent="0.35">
      <c r="A77" s="2">
        <v>1076</v>
      </c>
      <c r="B77" s="3">
        <v>45788</v>
      </c>
      <c r="C77" s="2" t="s">
        <v>22</v>
      </c>
      <c r="D77" s="2" t="s">
        <v>15</v>
      </c>
      <c r="E77" s="2" t="s">
        <v>16</v>
      </c>
      <c r="F77" s="2">
        <v>7</v>
      </c>
      <c r="G77" s="2">
        <v>5200</v>
      </c>
    </row>
    <row r="78" spans="1:7" x14ac:dyDescent="0.35">
      <c r="A78" s="2">
        <v>1077</v>
      </c>
      <c r="B78" s="3">
        <v>45790</v>
      </c>
      <c r="C78" s="2" t="s">
        <v>7</v>
      </c>
      <c r="D78" s="2" t="s">
        <v>21</v>
      </c>
      <c r="E78" s="2" t="s">
        <v>9</v>
      </c>
      <c r="F78" s="2">
        <v>3</v>
      </c>
      <c r="G78" s="2">
        <v>120</v>
      </c>
    </row>
    <row r="79" spans="1:7" x14ac:dyDescent="0.35">
      <c r="A79" s="2">
        <v>1078</v>
      </c>
      <c r="B79" s="3">
        <v>45791</v>
      </c>
      <c r="C79" s="2" t="s">
        <v>22</v>
      </c>
      <c r="D79" s="2" t="s">
        <v>11</v>
      </c>
      <c r="E79" s="2" t="s">
        <v>12</v>
      </c>
      <c r="F79" s="2">
        <v>3</v>
      </c>
      <c r="G79" s="2">
        <v>18000</v>
      </c>
    </row>
    <row r="80" spans="1:7" x14ac:dyDescent="0.35">
      <c r="A80" s="2">
        <v>1079</v>
      </c>
      <c r="B80" s="3">
        <v>45793</v>
      </c>
      <c r="C80" s="2" t="s">
        <v>22</v>
      </c>
      <c r="D80" s="2" t="s">
        <v>15</v>
      </c>
      <c r="E80" s="2" t="s">
        <v>16</v>
      </c>
      <c r="F80" s="2">
        <v>1</v>
      </c>
      <c r="G80" s="2">
        <v>5200</v>
      </c>
    </row>
    <row r="81" spans="1:7" x14ac:dyDescent="0.35">
      <c r="A81" s="2">
        <v>1080</v>
      </c>
      <c r="B81" s="3">
        <v>45794</v>
      </c>
      <c r="C81" s="2" t="s">
        <v>14</v>
      </c>
      <c r="D81" s="2" t="s">
        <v>21</v>
      </c>
      <c r="E81" s="2" t="s">
        <v>9</v>
      </c>
      <c r="F81" s="2">
        <v>9</v>
      </c>
      <c r="G81" s="2">
        <v>120</v>
      </c>
    </row>
    <row r="82" spans="1:7" x14ac:dyDescent="0.35">
      <c r="A82" s="2">
        <v>1081</v>
      </c>
      <c r="B82" s="3">
        <v>45795</v>
      </c>
      <c r="C82" s="2" t="s">
        <v>7</v>
      </c>
      <c r="D82" s="2" t="s">
        <v>20</v>
      </c>
      <c r="E82" s="2" t="s">
        <v>12</v>
      </c>
      <c r="F82" s="2">
        <v>3</v>
      </c>
      <c r="G82" s="2">
        <v>45000</v>
      </c>
    </row>
    <row r="83" spans="1:7" x14ac:dyDescent="0.35">
      <c r="A83" s="2">
        <v>1082</v>
      </c>
      <c r="B83" s="3">
        <v>45795</v>
      </c>
      <c r="C83" s="2" t="s">
        <v>22</v>
      </c>
      <c r="D83" s="2" t="s">
        <v>13</v>
      </c>
      <c r="E83" s="2" t="s">
        <v>12</v>
      </c>
      <c r="F83" s="2">
        <v>1</v>
      </c>
      <c r="G83" s="2">
        <v>2000</v>
      </c>
    </row>
    <row r="84" spans="1:7" x14ac:dyDescent="0.35">
      <c r="A84" s="2">
        <v>1083</v>
      </c>
      <c r="B84" s="3">
        <v>45795</v>
      </c>
      <c r="C84" s="2" t="s">
        <v>22</v>
      </c>
      <c r="D84" s="2" t="s">
        <v>11</v>
      </c>
      <c r="E84" s="2" t="s">
        <v>12</v>
      </c>
      <c r="F84" s="2">
        <v>3</v>
      </c>
      <c r="G84" s="2">
        <v>18000</v>
      </c>
    </row>
    <row r="85" spans="1:7" x14ac:dyDescent="0.35">
      <c r="A85" s="2">
        <v>1084</v>
      </c>
      <c r="B85" s="3">
        <v>45796</v>
      </c>
      <c r="C85" s="2" t="s">
        <v>14</v>
      </c>
      <c r="D85" s="2" t="s">
        <v>13</v>
      </c>
      <c r="E85" s="2" t="s">
        <v>12</v>
      </c>
      <c r="F85" s="2">
        <v>7</v>
      </c>
      <c r="G85" s="2">
        <v>2000</v>
      </c>
    </row>
    <row r="86" spans="1:7" x14ac:dyDescent="0.35">
      <c r="A86" s="2">
        <v>1085</v>
      </c>
      <c r="B86" s="3">
        <v>45798</v>
      </c>
      <c r="C86" s="2" t="s">
        <v>7</v>
      </c>
      <c r="D86" s="2" t="s">
        <v>20</v>
      </c>
      <c r="E86" s="2" t="s">
        <v>12</v>
      </c>
      <c r="F86" s="2">
        <v>2</v>
      </c>
      <c r="G86" s="2">
        <v>45000</v>
      </c>
    </row>
    <row r="87" spans="1:7" x14ac:dyDescent="0.35">
      <c r="A87" s="2">
        <v>1086</v>
      </c>
      <c r="B87" s="3">
        <v>45799</v>
      </c>
      <c r="C87" s="2" t="s">
        <v>10</v>
      </c>
      <c r="D87" s="2" t="s">
        <v>20</v>
      </c>
      <c r="E87" s="2" t="s">
        <v>12</v>
      </c>
      <c r="F87" s="2">
        <v>1</v>
      </c>
      <c r="G87" s="2">
        <v>45000</v>
      </c>
    </row>
    <row r="88" spans="1:7" x14ac:dyDescent="0.35">
      <c r="A88" s="2">
        <v>1087</v>
      </c>
      <c r="B88" s="3">
        <v>45805</v>
      </c>
      <c r="C88" s="2" t="s">
        <v>10</v>
      </c>
      <c r="D88" s="2" t="s">
        <v>11</v>
      </c>
      <c r="E88" s="2" t="s">
        <v>12</v>
      </c>
      <c r="F88" s="2">
        <v>1</v>
      </c>
      <c r="G88" s="2">
        <v>18000</v>
      </c>
    </row>
    <row r="89" spans="1:7" x14ac:dyDescent="0.35">
      <c r="A89" s="2">
        <v>1088</v>
      </c>
      <c r="B89" s="3">
        <v>45806</v>
      </c>
      <c r="C89" s="2" t="s">
        <v>7</v>
      </c>
      <c r="D89" s="2" t="s">
        <v>21</v>
      </c>
      <c r="E89" s="2" t="s">
        <v>9</v>
      </c>
      <c r="F89" s="2">
        <v>3</v>
      </c>
      <c r="G89" s="2">
        <v>120</v>
      </c>
    </row>
    <row r="90" spans="1:7" x14ac:dyDescent="0.35">
      <c r="A90" s="2">
        <v>1089</v>
      </c>
      <c r="B90" s="3">
        <v>45807</v>
      </c>
      <c r="C90" s="2" t="s">
        <v>14</v>
      </c>
      <c r="D90" s="2" t="s">
        <v>19</v>
      </c>
      <c r="E90" s="2" t="s">
        <v>16</v>
      </c>
      <c r="F90" s="2">
        <v>10</v>
      </c>
      <c r="G90" s="2">
        <v>6500</v>
      </c>
    </row>
    <row r="91" spans="1:7" x14ac:dyDescent="0.35">
      <c r="A91" s="2">
        <v>1090</v>
      </c>
      <c r="B91" s="3">
        <v>45812</v>
      </c>
      <c r="C91" s="2" t="s">
        <v>10</v>
      </c>
      <c r="D91" s="2" t="s">
        <v>17</v>
      </c>
      <c r="E91" s="2" t="s">
        <v>18</v>
      </c>
      <c r="F91" s="2">
        <v>9</v>
      </c>
      <c r="G91" s="2">
        <v>1500</v>
      </c>
    </row>
    <row r="92" spans="1:7" x14ac:dyDescent="0.35">
      <c r="A92" s="2">
        <v>1091</v>
      </c>
      <c r="B92" s="3">
        <v>45816</v>
      </c>
      <c r="C92" s="2" t="s">
        <v>22</v>
      </c>
      <c r="D92" s="2" t="s">
        <v>19</v>
      </c>
      <c r="E92" s="2" t="s">
        <v>16</v>
      </c>
      <c r="F92" s="2"/>
      <c r="G92" s="2">
        <v>6500</v>
      </c>
    </row>
    <row r="93" spans="1:7" x14ac:dyDescent="0.35">
      <c r="A93" s="2">
        <v>1092</v>
      </c>
      <c r="B93" s="3">
        <v>45818</v>
      </c>
      <c r="C93" s="2" t="s">
        <v>10</v>
      </c>
      <c r="D93" s="2" t="s">
        <v>17</v>
      </c>
      <c r="E93" s="2" t="s">
        <v>18</v>
      </c>
      <c r="F93" s="2">
        <v>10</v>
      </c>
      <c r="G93" s="2">
        <v>1500</v>
      </c>
    </row>
    <row r="94" spans="1:7" x14ac:dyDescent="0.35">
      <c r="A94" s="2">
        <v>1093</v>
      </c>
      <c r="B94" s="3">
        <v>45819</v>
      </c>
      <c r="C94" s="2" t="s">
        <v>7</v>
      </c>
      <c r="D94" s="2" t="s">
        <v>11</v>
      </c>
      <c r="E94" s="2" t="s">
        <v>12</v>
      </c>
      <c r="F94" s="2">
        <v>2</v>
      </c>
      <c r="G94" s="2">
        <v>18000</v>
      </c>
    </row>
    <row r="95" spans="1:7" x14ac:dyDescent="0.35">
      <c r="A95" s="2">
        <v>1094</v>
      </c>
      <c r="B95" s="3">
        <v>45821</v>
      </c>
      <c r="C95" s="2" t="s">
        <v>14</v>
      </c>
      <c r="D95" s="2" t="s">
        <v>11</v>
      </c>
      <c r="E95" s="2" t="s">
        <v>12</v>
      </c>
      <c r="F95" s="2">
        <v>3</v>
      </c>
      <c r="G95" s="2">
        <v>18000</v>
      </c>
    </row>
    <row r="96" spans="1:7" x14ac:dyDescent="0.35">
      <c r="A96" s="2">
        <v>1095</v>
      </c>
      <c r="B96" s="3">
        <v>45821</v>
      </c>
      <c r="C96" s="2" t="s">
        <v>14</v>
      </c>
      <c r="D96" s="2" t="s">
        <v>19</v>
      </c>
      <c r="E96" s="2" t="s">
        <v>16</v>
      </c>
      <c r="F96" s="2">
        <v>6</v>
      </c>
      <c r="G96" s="2">
        <v>6500</v>
      </c>
    </row>
    <row r="97" spans="1:7" x14ac:dyDescent="0.35">
      <c r="A97" s="2">
        <v>1096</v>
      </c>
      <c r="B97" s="3">
        <v>45823</v>
      </c>
      <c r="C97" s="2" t="s">
        <v>7</v>
      </c>
      <c r="D97" s="2" t="s">
        <v>13</v>
      </c>
      <c r="E97" s="2" t="s">
        <v>12</v>
      </c>
      <c r="F97" s="2">
        <v>7</v>
      </c>
      <c r="G97" s="2">
        <v>2000</v>
      </c>
    </row>
    <row r="98" spans="1:7" x14ac:dyDescent="0.35">
      <c r="A98" s="2">
        <v>1097</v>
      </c>
      <c r="B98" s="3">
        <v>45824</v>
      </c>
      <c r="C98" s="2" t="s">
        <v>10</v>
      </c>
      <c r="D98" s="2" t="s">
        <v>19</v>
      </c>
      <c r="E98" s="2" t="s">
        <v>16</v>
      </c>
      <c r="F98" s="2">
        <v>5</v>
      </c>
      <c r="G98" s="2">
        <v>6500</v>
      </c>
    </row>
    <row r="99" spans="1:7" x14ac:dyDescent="0.35">
      <c r="A99" s="2">
        <v>1098</v>
      </c>
      <c r="B99" s="3">
        <v>45824</v>
      </c>
      <c r="C99" s="2" t="s">
        <v>7</v>
      </c>
      <c r="D99" s="2" t="s">
        <v>8</v>
      </c>
      <c r="E99" s="2" t="s">
        <v>9</v>
      </c>
      <c r="F99" s="2">
        <v>7</v>
      </c>
      <c r="G99" s="2">
        <v>250</v>
      </c>
    </row>
    <row r="100" spans="1:7" x14ac:dyDescent="0.35">
      <c r="A100" s="2">
        <v>1099</v>
      </c>
      <c r="B100" s="3">
        <v>45827</v>
      </c>
      <c r="C100" s="2" t="s">
        <v>22</v>
      </c>
      <c r="D100" s="2" t="s">
        <v>15</v>
      </c>
      <c r="E100" s="2" t="s">
        <v>16</v>
      </c>
      <c r="F100" s="2">
        <v>5</v>
      </c>
      <c r="G100" s="2">
        <v>5200</v>
      </c>
    </row>
    <row r="101" spans="1:7" x14ac:dyDescent="0.35">
      <c r="A101" s="2">
        <v>1100</v>
      </c>
      <c r="B101" s="3">
        <v>45831</v>
      </c>
      <c r="C101" s="2" t="s">
        <v>14</v>
      </c>
      <c r="D101" s="2" t="s">
        <v>21</v>
      </c>
      <c r="E101" s="2" t="s">
        <v>9</v>
      </c>
      <c r="F101" s="2">
        <v>4</v>
      </c>
      <c r="G101" s="2">
        <v>120</v>
      </c>
    </row>
    <row r="102" spans="1:7" x14ac:dyDescent="0.35">
      <c r="A102" s="2">
        <v>1101</v>
      </c>
      <c r="B102" s="3">
        <v>45833</v>
      </c>
      <c r="C102" s="2" t="s">
        <v>10</v>
      </c>
      <c r="D102" s="2" t="s">
        <v>19</v>
      </c>
      <c r="E102" s="2" t="s">
        <v>16</v>
      </c>
      <c r="F102" s="2">
        <v>3</v>
      </c>
      <c r="G102" s="2">
        <v>6500</v>
      </c>
    </row>
    <row r="103" spans="1:7" x14ac:dyDescent="0.35">
      <c r="A103" s="2">
        <v>1102</v>
      </c>
      <c r="B103" s="3">
        <v>45835</v>
      </c>
      <c r="C103" s="2" t="s">
        <v>7</v>
      </c>
      <c r="D103" s="2" t="s">
        <v>8</v>
      </c>
      <c r="E103" s="2" t="s">
        <v>9</v>
      </c>
      <c r="F103" s="2">
        <v>8</v>
      </c>
      <c r="G103" s="2">
        <v>250</v>
      </c>
    </row>
    <row r="104" spans="1:7" x14ac:dyDescent="0.35">
      <c r="A104" s="2">
        <v>1103</v>
      </c>
      <c r="B104" s="3">
        <v>45835</v>
      </c>
      <c r="C104" s="2" t="s">
        <v>7</v>
      </c>
      <c r="D104" s="2" t="s">
        <v>20</v>
      </c>
      <c r="E104" s="2" t="s">
        <v>12</v>
      </c>
      <c r="F104" s="2">
        <v>1</v>
      </c>
      <c r="G104" s="2">
        <v>45000</v>
      </c>
    </row>
    <row r="105" spans="1:7" x14ac:dyDescent="0.35">
      <c r="A105" s="2">
        <v>1104</v>
      </c>
      <c r="B105" s="3">
        <v>45839</v>
      </c>
      <c r="C105" s="2" t="s">
        <v>7</v>
      </c>
      <c r="D105" s="2" t="s">
        <v>13</v>
      </c>
      <c r="E105" s="2" t="s">
        <v>12</v>
      </c>
      <c r="F105" s="2">
        <v>10</v>
      </c>
      <c r="G105" s="2">
        <v>2000</v>
      </c>
    </row>
    <row r="106" spans="1:7" x14ac:dyDescent="0.35">
      <c r="A106" s="2">
        <v>1105</v>
      </c>
      <c r="B106" s="3">
        <v>45839</v>
      </c>
      <c r="C106" s="2" t="s">
        <v>10</v>
      </c>
      <c r="D106" s="2" t="s">
        <v>17</v>
      </c>
      <c r="E106" s="2" t="s">
        <v>18</v>
      </c>
      <c r="F106" s="2">
        <v>10</v>
      </c>
      <c r="G106" s="2">
        <v>1500</v>
      </c>
    </row>
    <row r="107" spans="1:7" x14ac:dyDescent="0.35">
      <c r="A107" s="2">
        <v>1106</v>
      </c>
      <c r="B107" s="3">
        <v>45843</v>
      </c>
      <c r="C107" s="2" t="s">
        <v>22</v>
      </c>
      <c r="D107" s="2" t="s">
        <v>15</v>
      </c>
      <c r="E107" s="2" t="s">
        <v>16</v>
      </c>
      <c r="F107" s="2">
        <v>4</v>
      </c>
      <c r="G107" s="2">
        <v>5200</v>
      </c>
    </row>
    <row r="108" spans="1:7" x14ac:dyDescent="0.35">
      <c r="A108" s="2">
        <v>1107</v>
      </c>
      <c r="B108" s="3">
        <v>45844</v>
      </c>
      <c r="C108" s="2" t="s">
        <v>22</v>
      </c>
      <c r="D108" s="2" t="s">
        <v>20</v>
      </c>
      <c r="E108" s="2" t="s">
        <v>12</v>
      </c>
      <c r="F108" s="2">
        <v>1</v>
      </c>
      <c r="G108" s="2">
        <v>45000</v>
      </c>
    </row>
    <row r="109" spans="1:7" x14ac:dyDescent="0.35">
      <c r="A109" s="2">
        <v>1108</v>
      </c>
      <c r="B109" s="3">
        <v>45844</v>
      </c>
      <c r="C109" s="2" t="s">
        <v>7</v>
      </c>
      <c r="D109" s="2" t="s">
        <v>11</v>
      </c>
      <c r="E109" s="2" t="s">
        <v>12</v>
      </c>
      <c r="F109" s="2">
        <v>1</v>
      </c>
      <c r="G109" s="2">
        <v>18000</v>
      </c>
    </row>
    <row r="110" spans="1:7" x14ac:dyDescent="0.35">
      <c r="A110" s="2">
        <v>1109</v>
      </c>
      <c r="B110" s="3">
        <v>45850</v>
      </c>
      <c r="C110" s="2" t="s">
        <v>7</v>
      </c>
      <c r="D110" s="2" t="s">
        <v>15</v>
      </c>
      <c r="E110" s="2" t="s">
        <v>16</v>
      </c>
      <c r="F110" s="2">
        <v>6</v>
      </c>
      <c r="G110" s="2">
        <v>5200</v>
      </c>
    </row>
    <row r="111" spans="1:7" x14ac:dyDescent="0.35">
      <c r="A111" s="2">
        <v>1110</v>
      </c>
      <c r="B111" s="3">
        <v>45853</v>
      </c>
      <c r="C111" s="2" t="s">
        <v>14</v>
      </c>
      <c r="D111" s="2" t="s">
        <v>11</v>
      </c>
      <c r="E111" s="2" t="s">
        <v>12</v>
      </c>
      <c r="F111" s="2">
        <v>2</v>
      </c>
      <c r="G111" s="2">
        <v>18000</v>
      </c>
    </row>
    <row r="112" spans="1:7" x14ac:dyDescent="0.35">
      <c r="A112" s="2">
        <v>1111</v>
      </c>
      <c r="B112" s="3">
        <v>45854</v>
      </c>
      <c r="C112" s="2" t="s">
        <v>22</v>
      </c>
      <c r="D112" s="2" t="s">
        <v>21</v>
      </c>
      <c r="E112" s="2" t="s">
        <v>9</v>
      </c>
      <c r="F112" s="2">
        <v>9</v>
      </c>
      <c r="G112" s="2">
        <v>120</v>
      </c>
    </row>
    <row r="113" spans="1:7" x14ac:dyDescent="0.35">
      <c r="A113" s="2">
        <v>1112</v>
      </c>
      <c r="B113" s="3">
        <v>45856</v>
      </c>
      <c r="C113" s="2" t="s">
        <v>22</v>
      </c>
      <c r="D113" s="2" t="s">
        <v>19</v>
      </c>
      <c r="E113" s="2" t="s">
        <v>16</v>
      </c>
      <c r="F113" s="2">
        <v>8</v>
      </c>
      <c r="G113" s="2">
        <v>6500</v>
      </c>
    </row>
    <row r="114" spans="1:7" x14ac:dyDescent="0.35">
      <c r="A114" s="2">
        <v>1113</v>
      </c>
      <c r="B114" s="3">
        <v>45857</v>
      </c>
      <c r="C114" s="2" t="s">
        <v>10</v>
      </c>
      <c r="D114" s="2" t="s">
        <v>11</v>
      </c>
      <c r="E114" s="2" t="s">
        <v>12</v>
      </c>
      <c r="F114" s="2">
        <v>2</v>
      </c>
      <c r="G114" s="2">
        <v>18000</v>
      </c>
    </row>
    <row r="115" spans="1:7" x14ac:dyDescent="0.35">
      <c r="A115" s="2">
        <v>1114</v>
      </c>
      <c r="B115" s="3">
        <v>45858</v>
      </c>
      <c r="C115" s="2" t="s">
        <v>7</v>
      </c>
      <c r="D115" s="2" t="s">
        <v>17</v>
      </c>
      <c r="E115" s="2" t="s">
        <v>18</v>
      </c>
      <c r="F115" s="2">
        <v>6</v>
      </c>
      <c r="G115" s="2">
        <v>1500</v>
      </c>
    </row>
    <row r="116" spans="1:7" x14ac:dyDescent="0.35">
      <c r="A116" s="2">
        <v>1115</v>
      </c>
      <c r="B116" s="3">
        <v>45859</v>
      </c>
      <c r="C116" s="2" t="s">
        <v>10</v>
      </c>
      <c r="D116" s="2" t="s">
        <v>11</v>
      </c>
      <c r="E116" s="2" t="s">
        <v>12</v>
      </c>
      <c r="F116" s="2">
        <v>2</v>
      </c>
      <c r="G116" s="2">
        <v>18000</v>
      </c>
    </row>
    <row r="117" spans="1:7" x14ac:dyDescent="0.35">
      <c r="A117" s="2">
        <v>1116</v>
      </c>
      <c r="B117" s="3">
        <v>45859</v>
      </c>
      <c r="C117" s="2" t="s">
        <v>14</v>
      </c>
      <c r="D117" s="2" t="s">
        <v>20</v>
      </c>
      <c r="E117" s="2" t="s">
        <v>12</v>
      </c>
      <c r="F117" s="2">
        <v>2</v>
      </c>
      <c r="G117" s="2">
        <v>45000</v>
      </c>
    </row>
    <row r="118" spans="1:7" x14ac:dyDescent="0.35">
      <c r="A118" s="2">
        <v>1117</v>
      </c>
      <c r="B118" s="3">
        <v>45861</v>
      </c>
      <c r="C118" s="2" t="s">
        <v>22</v>
      </c>
      <c r="D118" s="2" t="s">
        <v>17</v>
      </c>
      <c r="E118" s="2" t="s">
        <v>18</v>
      </c>
      <c r="F118" s="2">
        <v>3</v>
      </c>
      <c r="G118" s="2">
        <v>1500</v>
      </c>
    </row>
    <row r="119" spans="1:7" x14ac:dyDescent="0.35">
      <c r="A119" s="2">
        <v>1118</v>
      </c>
      <c r="B119" s="3">
        <v>45863</v>
      </c>
      <c r="C119" s="2" t="s">
        <v>10</v>
      </c>
      <c r="D119" s="2" t="s">
        <v>15</v>
      </c>
      <c r="E119" s="2" t="s">
        <v>16</v>
      </c>
      <c r="F119" s="2">
        <v>3</v>
      </c>
      <c r="G119" s="2">
        <v>5200</v>
      </c>
    </row>
    <row r="120" spans="1:7" x14ac:dyDescent="0.35">
      <c r="A120" s="2">
        <v>1119</v>
      </c>
      <c r="B120" s="3">
        <v>45865</v>
      </c>
      <c r="C120" s="2" t="s">
        <v>10</v>
      </c>
      <c r="D120" s="2" t="s">
        <v>13</v>
      </c>
      <c r="E120" s="2" t="s">
        <v>12</v>
      </c>
      <c r="F120" s="2">
        <v>9</v>
      </c>
      <c r="G120" s="2">
        <v>2000</v>
      </c>
    </row>
    <row r="121" spans="1:7" x14ac:dyDescent="0.35">
      <c r="A121" s="2">
        <v>1120</v>
      </c>
      <c r="B121" s="3">
        <v>45870</v>
      </c>
      <c r="C121" s="2" t="s">
        <v>14</v>
      </c>
      <c r="D121" s="2" t="s">
        <v>8</v>
      </c>
      <c r="E121" s="2" t="s">
        <v>9</v>
      </c>
      <c r="F121" s="2">
        <v>5</v>
      </c>
      <c r="G121" s="2">
        <v>250</v>
      </c>
    </row>
    <row r="122" spans="1:7" x14ac:dyDescent="0.35">
      <c r="A122" s="2">
        <v>1121</v>
      </c>
      <c r="B122" s="3">
        <v>45873</v>
      </c>
      <c r="C122" s="2" t="s">
        <v>7</v>
      </c>
      <c r="D122" s="2" t="s">
        <v>20</v>
      </c>
      <c r="E122" s="2" t="s">
        <v>12</v>
      </c>
      <c r="F122" s="2">
        <v>3</v>
      </c>
      <c r="G122" s="2">
        <v>45000</v>
      </c>
    </row>
    <row r="123" spans="1:7" x14ac:dyDescent="0.35">
      <c r="A123" s="2">
        <v>1122</v>
      </c>
      <c r="B123" s="3">
        <v>45879</v>
      </c>
      <c r="C123" s="2" t="s">
        <v>22</v>
      </c>
      <c r="D123" s="2" t="s">
        <v>15</v>
      </c>
      <c r="E123" s="2" t="s">
        <v>16</v>
      </c>
      <c r="F123" s="2">
        <v>1</v>
      </c>
      <c r="G123" s="2">
        <v>5200</v>
      </c>
    </row>
    <row r="124" spans="1:7" x14ac:dyDescent="0.35">
      <c r="A124" s="2">
        <v>1123</v>
      </c>
      <c r="B124" s="3">
        <v>45880</v>
      </c>
      <c r="C124" s="2" t="s">
        <v>22</v>
      </c>
      <c r="D124" s="2" t="s">
        <v>21</v>
      </c>
      <c r="E124" s="2" t="s">
        <v>9</v>
      </c>
      <c r="F124" s="2">
        <v>2</v>
      </c>
      <c r="G124" s="2">
        <v>120</v>
      </c>
    </row>
    <row r="125" spans="1:7" x14ac:dyDescent="0.35">
      <c r="A125" s="2">
        <v>1124</v>
      </c>
      <c r="B125" s="3">
        <v>45880</v>
      </c>
      <c r="C125" s="2" t="s">
        <v>10</v>
      </c>
      <c r="D125" s="2" t="s">
        <v>8</v>
      </c>
      <c r="E125" s="2" t="s">
        <v>9</v>
      </c>
      <c r="F125" s="2">
        <v>2</v>
      </c>
      <c r="G125" s="2">
        <v>250</v>
      </c>
    </row>
    <row r="126" spans="1:7" x14ac:dyDescent="0.35">
      <c r="A126" s="2">
        <v>1125</v>
      </c>
      <c r="B126" s="3">
        <v>45883</v>
      </c>
      <c r="C126" s="2" t="s">
        <v>14</v>
      </c>
      <c r="D126" s="2" t="s">
        <v>13</v>
      </c>
      <c r="E126" s="2" t="s">
        <v>12</v>
      </c>
      <c r="F126" s="2">
        <v>2</v>
      </c>
      <c r="G126" s="2">
        <v>2000</v>
      </c>
    </row>
    <row r="127" spans="1:7" x14ac:dyDescent="0.35">
      <c r="A127" s="2">
        <v>1126</v>
      </c>
      <c r="B127" s="3">
        <v>45883</v>
      </c>
      <c r="C127" s="2" t="s">
        <v>14</v>
      </c>
      <c r="D127" s="2" t="s">
        <v>20</v>
      </c>
      <c r="E127" s="2" t="s">
        <v>12</v>
      </c>
      <c r="F127" s="2">
        <v>2</v>
      </c>
      <c r="G127" s="2">
        <v>45000</v>
      </c>
    </row>
    <row r="128" spans="1:7" x14ac:dyDescent="0.35">
      <c r="A128" s="2">
        <v>1127</v>
      </c>
      <c r="B128" s="3">
        <v>45887</v>
      </c>
      <c r="C128" s="2" t="s">
        <v>7</v>
      </c>
      <c r="D128" s="2" t="s">
        <v>13</v>
      </c>
      <c r="E128" s="2" t="s">
        <v>12</v>
      </c>
      <c r="F128" s="2">
        <v>7</v>
      </c>
      <c r="G128" s="2">
        <v>2000</v>
      </c>
    </row>
    <row r="129" spans="1:7" x14ac:dyDescent="0.35">
      <c r="A129" s="2">
        <v>1128</v>
      </c>
      <c r="B129" s="3">
        <v>45887</v>
      </c>
      <c r="C129" s="2" t="s">
        <v>22</v>
      </c>
      <c r="D129" s="2" t="s">
        <v>19</v>
      </c>
      <c r="E129" s="2" t="s">
        <v>16</v>
      </c>
      <c r="F129" s="2">
        <v>2</v>
      </c>
      <c r="G129" s="2">
        <v>6500</v>
      </c>
    </row>
    <row r="130" spans="1:7" x14ac:dyDescent="0.35">
      <c r="A130" s="2">
        <v>1129</v>
      </c>
      <c r="B130" s="3">
        <v>45888</v>
      </c>
      <c r="C130" s="2" t="s">
        <v>10</v>
      </c>
      <c r="D130" s="2" t="s">
        <v>13</v>
      </c>
      <c r="E130" s="2" t="s">
        <v>12</v>
      </c>
      <c r="F130" s="2">
        <v>5</v>
      </c>
      <c r="G130" s="2">
        <v>2000</v>
      </c>
    </row>
    <row r="131" spans="1:7" x14ac:dyDescent="0.35">
      <c r="A131" s="2">
        <v>1130</v>
      </c>
      <c r="B131" s="3">
        <v>45889</v>
      </c>
      <c r="C131" s="2" t="s">
        <v>7</v>
      </c>
      <c r="D131" s="2" t="s">
        <v>20</v>
      </c>
      <c r="E131" s="2" t="s">
        <v>12</v>
      </c>
      <c r="F131" s="2">
        <v>3</v>
      </c>
      <c r="G131" s="2">
        <v>45000</v>
      </c>
    </row>
    <row r="132" spans="1:7" x14ac:dyDescent="0.35">
      <c r="A132" s="2">
        <v>1131</v>
      </c>
      <c r="B132" s="3">
        <v>45889</v>
      </c>
      <c r="C132" s="2" t="s">
        <v>10</v>
      </c>
      <c r="D132" s="2" t="s">
        <v>8</v>
      </c>
      <c r="E132" s="2" t="s">
        <v>9</v>
      </c>
      <c r="F132" s="2">
        <v>8</v>
      </c>
      <c r="G132" s="2">
        <v>250</v>
      </c>
    </row>
    <row r="133" spans="1:7" x14ac:dyDescent="0.35">
      <c r="A133" s="2">
        <v>1132</v>
      </c>
      <c r="B133" s="3">
        <v>45891</v>
      </c>
      <c r="C133" s="2" t="s">
        <v>10</v>
      </c>
      <c r="D133" s="2" t="s">
        <v>21</v>
      </c>
      <c r="E133" s="2" t="s">
        <v>9</v>
      </c>
      <c r="F133" s="2">
        <v>7</v>
      </c>
      <c r="G133" s="2">
        <v>120</v>
      </c>
    </row>
    <row r="134" spans="1:7" x14ac:dyDescent="0.35">
      <c r="A134" s="2">
        <v>1133</v>
      </c>
      <c r="B134" s="3">
        <v>45895</v>
      </c>
      <c r="C134" s="2" t="s">
        <v>22</v>
      </c>
      <c r="D134" s="2" t="s">
        <v>21</v>
      </c>
      <c r="E134" s="2" t="s">
        <v>9</v>
      </c>
      <c r="F134" s="2">
        <v>2</v>
      </c>
      <c r="G134" s="2">
        <v>120</v>
      </c>
    </row>
    <row r="135" spans="1:7" x14ac:dyDescent="0.35">
      <c r="A135" s="2">
        <v>1134</v>
      </c>
      <c r="B135" s="3">
        <v>45895</v>
      </c>
      <c r="C135" s="2" t="s">
        <v>7</v>
      </c>
      <c r="D135" s="2" t="s">
        <v>17</v>
      </c>
      <c r="E135" s="2" t="s">
        <v>18</v>
      </c>
      <c r="F135" s="2">
        <v>8</v>
      </c>
      <c r="G135" s="2">
        <v>1500</v>
      </c>
    </row>
    <row r="136" spans="1:7" x14ac:dyDescent="0.35">
      <c r="A136" s="2">
        <v>1135</v>
      </c>
      <c r="B136" s="3">
        <v>45900</v>
      </c>
      <c r="C136" s="2" t="s">
        <v>10</v>
      </c>
      <c r="D136" s="2" t="s">
        <v>20</v>
      </c>
      <c r="E136" s="2" t="s">
        <v>12</v>
      </c>
      <c r="F136" s="2">
        <v>2</v>
      </c>
      <c r="G136" s="2">
        <v>45000</v>
      </c>
    </row>
    <row r="137" spans="1:7" x14ac:dyDescent="0.35">
      <c r="A137" s="2">
        <v>1136</v>
      </c>
      <c r="B137" s="3">
        <v>45901</v>
      </c>
      <c r="C137" s="2" t="s">
        <v>22</v>
      </c>
      <c r="D137" s="2" t="s">
        <v>15</v>
      </c>
      <c r="E137" s="2" t="s">
        <v>16</v>
      </c>
      <c r="F137" s="2">
        <v>9</v>
      </c>
      <c r="G137" s="2">
        <v>5200</v>
      </c>
    </row>
    <row r="138" spans="1:7" x14ac:dyDescent="0.35">
      <c r="A138" s="2">
        <v>1137</v>
      </c>
      <c r="B138" s="3">
        <v>45903</v>
      </c>
      <c r="C138" s="2" t="s">
        <v>7</v>
      </c>
      <c r="D138" s="2" t="s">
        <v>8</v>
      </c>
      <c r="E138" s="2" t="s">
        <v>9</v>
      </c>
      <c r="F138" s="2">
        <v>2</v>
      </c>
      <c r="G138" s="2">
        <v>250</v>
      </c>
    </row>
    <row r="139" spans="1:7" x14ac:dyDescent="0.35">
      <c r="A139" s="2">
        <v>1138</v>
      </c>
      <c r="B139" s="3">
        <v>45905</v>
      </c>
      <c r="C139" s="2" t="s">
        <v>22</v>
      </c>
      <c r="D139" s="2" t="s">
        <v>15</v>
      </c>
      <c r="E139" s="2" t="s">
        <v>16</v>
      </c>
      <c r="F139" s="2">
        <v>2</v>
      </c>
      <c r="G139" s="2">
        <v>5200</v>
      </c>
    </row>
    <row r="140" spans="1:7" x14ac:dyDescent="0.35">
      <c r="A140" s="2">
        <v>1139</v>
      </c>
      <c r="B140" s="3">
        <v>45910</v>
      </c>
      <c r="C140" s="2" t="s">
        <v>14</v>
      </c>
      <c r="D140" s="2" t="s">
        <v>20</v>
      </c>
      <c r="E140" s="2" t="s">
        <v>12</v>
      </c>
      <c r="F140" s="2">
        <v>1</v>
      </c>
      <c r="G140" s="2">
        <v>45000</v>
      </c>
    </row>
    <row r="141" spans="1:7" x14ac:dyDescent="0.35">
      <c r="A141" s="2">
        <v>1140</v>
      </c>
      <c r="B141" s="3">
        <v>45912</v>
      </c>
      <c r="C141" s="2" t="s">
        <v>10</v>
      </c>
      <c r="D141" s="2" t="s">
        <v>11</v>
      </c>
      <c r="E141" s="2" t="s">
        <v>12</v>
      </c>
      <c r="F141" s="2">
        <v>1</v>
      </c>
      <c r="G141" s="2">
        <v>18000</v>
      </c>
    </row>
    <row r="142" spans="1:7" x14ac:dyDescent="0.35">
      <c r="A142" s="2">
        <v>1141</v>
      </c>
      <c r="B142" s="3">
        <v>45913</v>
      </c>
      <c r="C142" s="2" t="s">
        <v>14</v>
      </c>
      <c r="D142" s="2" t="s">
        <v>15</v>
      </c>
      <c r="E142" s="2" t="s">
        <v>16</v>
      </c>
      <c r="F142" s="2">
        <v>10</v>
      </c>
      <c r="G142" s="2">
        <v>5200</v>
      </c>
    </row>
    <row r="143" spans="1:7" x14ac:dyDescent="0.35">
      <c r="A143" s="2">
        <v>1142</v>
      </c>
      <c r="B143" s="3">
        <v>45914</v>
      </c>
      <c r="C143" s="2" t="s">
        <v>22</v>
      </c>
      <c r="D143" s="2" t="s">
        <v>13</v>
      </c>
      <c r="E143" s="2" t="s">
        <v>12</v>
      </c>
      <c r="F143" s="2">
        <v>9</v>
      </c>
      <c r="G143" s="2">
        <v>2000</v>
      </c>
    </row>
    <row r="144" spans="1:7" x14ac:dyDescent="0.35">
      <c r="A144" s="2">
        <v>1143</v>
      </c>
      <c r="B144" s="3">
        <v>45914</v>
      </c>
      <c r="C144" s="2" t="s">
        <v>14</v>
      </c>
      <c r="D144" s="2" t="s">
        <v>13</v>
      </c>
      <c r="E144" s="2" t="s">
        <v>12</v>
      </c>
      <c r="F144" s="2">
        <v>5</v>
      </c>
      <c r="G144" s="2">
        <v>2000</v>
      </c>
    </row>
    <row r="145" spans="1:7" x14ac:dyDescent="0.35">
      <c r="A145" s="2">
        <v>1144</v>
      </c>
      <c r="B145" s="3">
        <v>45917</v>
      </c>
      <c r="C145" s="2" t="s">
        <v>7</v>
      </c>
      <c r="D145" s="2" t="s">
        <v>19</v>
      </c>
      <c r="E145" s="2" t="s">
        <v>16</v>
      </c>
      <c r="F145" s="2">
        <v>1</v>
      </c>
      <c r="G145" s="2">
        <v>6500</v>
      </c>
    </row>
    <row r="146" spans="1:7" x14ac:dyDescent="0.35">
      <c r="A146" s="2">
        <v>1145</v>
      </c>
      <c r="B146" s="3">
        <v>45917</v>
      </c>
      <c r="C146" s="2" t="s">
        <v>22</v>
      </c>
      <c r="D146" s="2" t="s">
        <v>15</v>
      </c>
      <c r="E146" s="2" t="s">
        <v>16</v>
      </c>
      <c r="F146" s="2">
        <v>4</v>
      </c>
      <c r="G146" s="2">
        <v>5200</v>
      </c>
    </row>
    <row r="147" spans="1:7" x14ac:dyDescent="0.35">
      <c r="A147" s="2">
        <v>1146</v>
      </c>
      <c r="B147" s="3">
        <v>45917</v>
      </c>
      <c r="C147" s="2" t="s">
        <v>22</v>
      </c>
      <c r="D147" s="2" t="s">
        <v>15</v>
      </c>
      <c r="E147" s="2" t="s">
        <v>16</v>
      </c>
      <c r="F147" s="2">
        <v>10</v>
      </c>
      <c r="G147" s="2">
        <v>5200</v>
      </c>
    </row>
    <row r="148" spans="1:7" x14ac:dyDescent="0.35">
      <c r="A148" s="2">
        <v>1147</v>
      </c>
      <c r="B148" s="3">
        <v>45918</v>
      </c>
      <c r="C148" s="2" t="s">
        <v>22</v>
      </c>
      <c r="D148" s="2" t="s">
        <v>17</v>
      </c>
      <c r="E148" s="2" t="s">
        <v>18</v>
      </c>
      <c r="F148" s="2">
        <v>9</v>
      </c>
      <c r="G148" s="2">
        <v>1500</v>
      </c>
    </row>
    <row r="149" spans="1:7" x14ac:dyDescent="0.35">
      <c r="A149" s="2">
        <v>1148</v>
      </c>
      <c r="B149" s="3">
        <v>45922</v>
      </c>
      <c r="C149" s="2" t="s">
        <v>7</v>
      </c>
      <c r="D149" s="2" t="s">
        <v>15</v>
      </c>
      <c r="E149" s="2" t="s">
        <v>16</v>
      </c>
      <c r="F149" s="2">
        <v>9</v>
      </c>
      <c r="G149" s="2">
        <v>5200</v>
      </c>
    </row>
    <row r="150" spans="1:7" x14ac:dyDescent="0.35">
      <c r="A150" s="2">
        <v>1149</v>
      </c>
      <c r="B150" s="3">
        <v>45923</v>
      </c>
      <c r="C150" s="2" t="s">
        <v>14</v>
      </c>
      <c r="D150" s="2" t="s">
        <v>8</v>
      </c>
      <c r="E150" s="2" t="s">
        <v>9</v>
      </c>
      <c r="F150" s="2">
        <v>3</v>
      </c>
      <c r="G150" s="2">
        <v>250</v>
      </c>
    </row>
    <row r="151" spans="1:7" x14ac:dyDescent="0.35">
      <c r="A151" s="2">
        <v>1150</v>
      </c>
      <c r="B151" s="3">
        <v>45923</v>
      </c>
      <c r="C151" s="2" t="s">
        <v>7</v>
      </c>
      <c r="D151" s="2" t="s">
        <v>17</v>
      </c>
      <c r="E151" s="2" t="s">
        <v>18</v>
      </c>
      <c r="F151" s="2">
        <v>6</v>
      </c>
      <c r="G151" s="2">
        <v>1500</v>
      </c>
    </row>
    <row r="152" spans="1:7" x14ac:dyDescent="0.35">
      <c r="A152" s="2">
        <v>1151</v>
      </c>
      <c r="B152" s="3">
        <v>45926</v>
      </c>
      <c r="C152" s="2" t="s">
        <v>10</v>
      </c>
      <c r="D152" s="2" t="s">
        <v>17</v>
      </c>
      <c r="E152" s="2" t="s">
        <v>18</v>
      </c>
      <c r="F152" s="2">
        <v>6</v>
      </c>
      <c r="G152" s="2">
        <v>1500</v>
      </c>
    </row>
    <row r="153" spans="1:7" x14ac:dyDescent="0.35">
      <c r="A153" s="2">
        <v>1152</v>
      </c>
      <c r="B153" s="3">
        <v>45926</v>
      </c>
      <c r="C153" s="2" t="s">
        <v>22</v>
      </c>
      <c r="D153" s="2" t="s">
        <v>20</v>
      </c>
      <c r="E153" s="2" t="s">
        <v>12</v>
      </c>
      <c r="F153" s="2">
        <v>2</v>
      </c>
      <c r="G153" s="2">
        <v>45000</v>
      </c>
    </row>
    <row r="154" spans="1:7" x14ac:dyDescent="0.35">
      <c r="A154" s="2">
        <v>1153</v>
      </c>
      <c r="B154" s="3">
        <v>45926</v>
      </c>
      <c r="C154" s="2" t="s">
        <v>22</v>
      </c>
      <c r="D154" s="2" t="s">
        <v>20</v>
      </c>
      <c r="E154" s="2" t="s">
        <v>12</v>
      </c>
      <c r="F154" s="2">
        <v>3</v>
      </c>
      <c r="G154" s="2">
        <v>45000</v>
      </c>
    </row>
    <row r="155" spans="1:7" x14ac:dyDescent="0.35">
      <c r="A155" s="2">
        <v>1154</v>
      </c>
      <c r="B155" s="3">
        <v>45927</v>
      </c>
      <c r="C155" s="2" t="s">
        <v>22</v>
      </c>
      <c r="D155" s="2" t="s">
        <v>13</v>
      </c>
      <c r="E155" s="2" t="s">
        <v>12</v>
      </c>
      <c r="F155" s="2">
        <v>7</v>
      </c>
      <c r="G155" s="2">
        <v>2000</v>
      </c>
    </row>
    <row r="156" spans="1:7" x14ac:dyDescent="0.35">
      <c r="A156" s="2">
        <v>1155</v>
      </c>
      <c r="B156" s="3">
        <v>45928</v>
      </c>
      <c r="C156" s="2" t="s">
        <v>14</v>
      </c>
      <c r="D156" s="2" t="s">
        <v>15</v>
      </c>
      <c r="E156" s="2" t="s">
        <v>16</v>
      </c>
      <c r="F156" s="2">
        <v>2</v>
      </c>
      <c r="G156" s="2">
        <v>5200</v>
      </c>
    </row>
    <row r="157" spans="1:7" x14ac:dyDescent="0.35">
      <c r="A157" s="2">
        <v>1156</v>
      </c>
      <c r="B157" s="3">
        <v>45928</v>
      </c>
      <c r="C157" s="2" t="s">
        <v>7</v>
      </c>
      <c r="D157" s="2" t="s">
        <v>21</v>
      </c>
      <c r="E157" s="2" t="s">
        <v>9</v>
      </c>
      <c r="F157" s="2">
        <v>2</v>
      </c>
      <c r="G157" s="2">
        <v>120</v>
      </c>
    </row>
    <row r="158" spans="1:7" x14ac:dyDescent="0.35">
      <c r="A158" s="2">
        <v>1157</v>
      </c>
      <c r="B158" s="3">
        <v>45929</v>
      </c>
      <c r="C158" s="2" t="s">
        <v>10</v>
      </c>
      <c r="D158" s="2" t="s">
        <v>19</v>
      </c>
      <c r="E158" s="2" t="s">
        <v>16</v>
      </c>
      <c r="F158" s="2">
        <v>5</v>
      </c>
      <c r="G158" s="2">
        <v>6500</v>
      </c>
    </row>
    <row r="159" spans="1:7" x14ac:dyDescent="0.35">
      <c r="A159" s="2">
        <v>1158</v>
      </c>
      <c r="B159" s="3">
        <v>45938</v>
      </c>
      <c r="C159" s="2" t="s">
        <v>7</v>
      </c>
      <c r="D159" s="2" t="s">
        <v>11</v>
      </c>
      <c r="E159" s="2" t="s">
        <v>12</v>
      </c>
      <c r="F159" s="2">
        <v>3</v>
      </c>
      <c r="G159" s="2">
        <v>18000</v>
      </c>
    </row>
    <row r="160" spans="1:7" x14ac:dyDescent="0.35">
      <c r="A160" s="2">
        <v>1159</v>
      </c>
      <c r="B160" s="3">
        <v>45938</v>
      </c>
      <c r="C160" s="2" t="s">
        <v>7</v>
      </c>
      <c r="D160" s="2" t="s">
        <v>8</v>
      </c>
      <c r="E160" s="2" t="s">
        <v>9</v>
      </c>
      <c r="F160" s="2">
        <v>4</v>
      </c>
      <c r="G160" s="2">
        <v>250</v>
      </c>
    </row>
    <row r="161" spans="1:7" x14ac:dyDescent="0.35">
      <c r="A161" s="2">
        <v>1160</v>
      </c>
      <c r="B161" s="3">
        <v>45939</v>
      </c>
      <c r="C161" s="2" t="s">
        <v>14</v>
      </c>
      <c r="D161" s="2" t="s">
        <v>15</v>
      </c>
      <c r="E161" s="2" t="s">
        <v>16</v>
      </c>
      <c r="F161" s="2">
        <v>7</v>
      </c>
      <c r="G161" s="2">
        <v>5200</v>
      </c>
    </row>
    <row r="162" spans="1:7" x14ac:dyDescent="0.35">
      <c r="A162" s="2">
        <v>1161</v>
      </c>
      <c r="B162" s="3">
        <v>45939</v>
      </c>
      <c r="C162" s="2" t="s">
        <v>7</v>
      </c>
      <c r="D162" s="2" t="s">
        <v>19</v>
      </c>
      <c r="E162" s="2" t="s">
        <v>16</v>
      </c>
      <c r="F162" s="2">
        <v>5</v>
      </c>
      <c r="G162" s="2">
        <v>6500</v>
      </c>
    </row>
    <row r="163" spans="1:7" x14ac:dyDescent="0.35">
      <c r="A163" s="2">
        <v>1162</v>
      </c>
      <c r="B163" s="3">
        <v>45942</v>
      </c>
      <c r="C163" s="2" t="s">
        <v>10</v>
      </c>
      <c r="D163" s="2" t="s">
        <v>20</v>
      </c>
      <c r="E163" s="2" t="s">
        <v>12</v>
      </c>
      <c r="F163" s="2">
        <v>2</v>
      </c>
      <c r="G163" s="2">
        <v>45000</v>
      </c>
    </row>
    <row r="164" spans="1:7" x14ac:dyDescent="0.35">
      <c r="A164" s="2">
        <v>1163</v>
      </c>
      <c r="B164" s="3">
        <v>45943</v>
      </c>
      <c r="C164" s="2" t="s">
        <v>14</v>
      </c>
      <c r="D164" s="2" t="s">
        <v>8</v>
      </c>
      <c r="E164" s="2" t="s">
        <v>9</v>
      </c>
      <c r="F164" s="2">
        <v>6</v>
      </c>
      <c r="G164" s="2">
        <v>250</v>
      </c>
    </row>
    <row r="165" spans="1:7" x14ac:dyDescent="0.35">
      <c r="A165" s="2">
        <v>1164</v>
      </c>
      <c r="B165" s="3">
        <v>45945</v>
      </c>
      <c r="C165" s="2" t="s">
        <v>10</v>
      </c>
      <c r="D165" s="2" t="s">
        <v>20</v>
      </c>
      <c r="E165" s="2" t="s">
        <v>12</v>
      </c>
      <c r="F165" s="2">
        <v>1</v>
      </c>
      <c r="G165" s="2">
        <v>45000</v>
      </c>
    </row>
    <row r="166" spans="1:7" x14ac:dyDescent="0.35">
      <c r="A166" s="2">
        <v>1165</v>
      </c>
      <c r="B166" s="3">
        <v>45948</v>
      </c>
      <c r="C166" s="2" t="s">
        <v>7</v>
      </c>
      <c r="D166" s="2" t="s">
        <v>13</v>
      </c>
      <c r="E166" s="2" t="s">
        <v>12</v>
      </c>
      <c r="F166" s="2">
        <v>9</v>
      </c>
      <c r="G166" s="2">
        <v>2000</v>
      </c>
    </row>
    <row r="167" spans="1:7" x14ac:dyDescent="0.35">
      <c r="A167" s="2">
        <v>1166</v>
      </c>
      <c r="B167" s="3">
        <v>45949</v>
      </c>
      <c r="C167" s="2" t="s">
        <v>10</v>
      </c>
      <c r="D167" s="2" t="s">
        <v>19</v>
      </c>
      <c r="E167" s="2" t="s">
        <v>16</v>
      </c>
      <c r="F167" s="2">
        <v>1</v>
      </c>
      <c r="G167" s="2">
        <v>6500</v>
      </c>
    </row>
    <row r="168" spans="1:7" x14ac:dyDescent="0.35">
      <c r="A168" s="2">
        <v>1167</v>
      </c>
      <c r="B168" s="3">
        <v>45950</v>
      </c>
      <c r="C168" s="2" t="s">
        <v>22</v>
      </c>
      <c r="D168" s="2" t="s">
        <v>15</v>
      </c>
      <c r="E168" s="2" t="s">
        <v>16</v>
      </c>
      <c r="F168" s="2">
        <v>9</v>
      </c>
      <c r="G168" s="2">
        <v>5200</v>
      </c>
    </row>
    <row r="169" spans="1:7" x14ac:dyDescent="0.35">
      <c r="A169" s="2">
        <v>1168</v>
      </c>
      <c r="B169" s="3">
        <v>45959</v>
      </c>
      <c r="C169" s="2" t="s">
        <v>14</v>
      </c>
      <c r="D169" s="2" t="s">
        <v>13</v>
      </c>
      <c r="E169" s="2" t="s">
        <v>12</v>
      </c>
      <c r="F169" s="2">
        <v>5</v>
      </c>
      <c r="G169" s="2">
        <v>2000</v>
      </c>
    </row>
    <row r="170" spans="1:7" x14ac:dyDescent="0.35">
      <c r="A170" s="2">
        <v>1169</v>
      </c>
      <c r="B170" s="3">
        <v>45960</v>
      </c>
      <c r="C170" s="2" t="s">
        <v>10</v>
      </c>
      <c r="D170" s="2" t="s">
        <v>17</v>
      </c>
      <c r="E170" s="2" t="s">
        <v>18</v>
      </c>
      <c r="F170" s="2">
        <v>3</v>
      </c>
      <c r="G170" s="2">
        <v>1500</v>
      </c>
    </row>
    <row r="171" spans="1:7" x14ac:dyDescent="0.35">
      <c r="A171" s="2">
        <v>1170</v>
      </c>
      <c r="B171" s="3">
        <v>45962</v>
      </c>
      <c r="C171" s="2" t="s">
        <v>10</v>
      </c>
      <c r="D171" s="2" t="s">
        <v>17</v>
      </c>
      <c r="E171" s="2" t="s">
        <v>18</v>
      </c>
      <c r="F171" s="2">
        <v>10</v>
      </c>
      <c r="G171" s="2">
        <v>1500</v>
      </c>
    </row>
    <row r="172" spans="1:7" x14ac:dyDescent="0.35">
      <c r="A172" s="2">
        <v>1171</v>
      </c>
      <c r="B172" s="3">
        <v>45965</v>
      </c>
      <c r="C172" s="2" t="s">
        <v>7</v>
      </c>
      <c r="D172" s="2" t="s">
        <v>20</v>
      </c>
      <c r="E172" s="2" t="s">
        <v>12</v>
      </c>
      <c r="F172" s="2">
        <v>1</v>
      </c>
      <c r="G172" s="2">
        <v>45000</v>
      </c>
    </row>
    <row r="173" spans="1:7" x14ac:dyDescent="0.35">
      <c r="A173" s="2">
        <v>1172</v>
      </c>
      <c r="B173" s="3">
        <v>45966</v>
      </c>
      <c r="C173" s="2" t="s">
        <v>14</v>
      </c>
      <c r="D173" s="2" t="s">
        <v>15</v>
      </c>
      <c r="E173" s="2" t="s">
        <v>16</v>
      </c>
      <c r="F173" s="2">
        <v>2</v>
      </c>
      <c r="G173" s="2">
        <v>5200</v>
      </c>
    </row>
    <row r="174" spans="1:7" x14ac:dyDescent="0.35">
      <c r="A174" s="2">
        <v>1173</v>
      </c>
      <c r="B174" s="3">
        <v>45969</v>
      </c>
      <c r="C174" s="2" t="s">
        <v>22</v>
      </c>
      <c r="D174" s="2" t="s">
        <v>20</v>
      </c>
      <c r="E174" s="2" t="s">
        <v>12</v>
      </c>
      <c r="F174" s="2">
        <v>1</v>
      </c>
      <c r="G174" s="2">
        <v>45000</v>
      </c>
    </row>
    <row r="175" spans="1:7" x14ac:dyDescent="0.35">
      <c r="A175" s="2">
        <v>1174</v>
      </c>
      <c r="B175" s="3">
        <v>45970</v>
      </c>
      <c r="C175" s="2" t="s">
        <v>7</v>
      </c>
      <c r="D175" s="2" t="s">
        <v>8</v>
      </c>
      <c r="E175" s="2" t="s">
        <v>9</v>
      </c>
      <c r="F175" s="2">
        <v>3</v>
      </c>
      <c r="G175" s="2">
        <v>250</v>
      </c>
    </row>
    <row r="176" spans="1:7" x14ac:dyDescent="0.35">
      <c r="A176" s="2">
        <v>1175</v>
      </c>
      <c r="B176" s="3">
        <v>45972</v>
      </c>
      <c r="C176" s="2" t="s">
        <v>14</v>
      </c>
      <c r="D176" s="2" t="s">
        <v>21</v>
      </c>
      <c r="E176" s="2" t="s">
        <v>9</v>
      </c>
      <c r="F176" s="2">
        <v>3</v>
      </c>
      <c r="G176" s="2">
        <v>120</v>
      </c>
    </row>
    <row r="177" spans="1:7" x14ac:dyDescent="0.35">
      <c r="A177" s="2">
        <v>1176</v>
      </c>
      <c r="B177" s="3">
        <v>45974</v>
      </c>
      <c r="C177" s="2" t="s">
        <v>10</v>
      </c>
      <c r="D177" s="2" t="s">
        <v>19</v>
      </c>
      <c r="E177" s="2" t="s">
        <v>16</v>
      </c>
      <c r="F177" s="2">
        <v>8</v>
      </c>
      <c r="G177" s="2">
        <v>6500</v>
      </c>
    </row>
    <row r="178" spans="1:7" x14ac:dyDescent="0.35">
      <c r="A178" s="2">
        <v>1177</v>
      </c>
      <c r="B178" s="3">
        <v>45978</v>
      </c>
      <c r="C178" s="2" t="s">
        <v>14</v>
      </c>
      <c r="D178" s="2" t="s">
        <v>19</v>
      </c>
      <c r="E178" s="2" t="s">
        <v>16</v>
      </c>
      <c r="F178" s="2">
        <v>8</v>
      </c>
      <c r="G178" s="2">
        <v>6500</v>
      </c>
    </row>
    <row r="179" spans="1:7" x14ac:dyDescent="0.35">
      <c r="A179" s="2">
        <v>1178</v>
      </c>
      <c r="B179" s="3">
        <v>45980</v>
      </c>
      <c r="C179" s="2" t="s">
        <v>22</v>
      </c>
      <c r="D179" s="2" t="s">
        <v>19</v>
      </c>
      <c r="E179" s="2" t="s">
        <v>16</v>
      </c>
      <c r="F179" s="2">
        <v>2</v>
      </c>
      <c r="G179" s="2">
        <v>6500</v>
      </c>
    </row>
    <row r="180" spans="1:7" x14ac:dyDescent="0.35">
      <c r="A180" s="2">
        <v>1179</v>
      </c>
      <c r="B180" s="3">
        <v>45981</v>
      </c>
      <c r="C180" s="2" t="s">
        <v>22</v>
      </c>
      <c r="D180" s="2" t="s">
        <v>21</v>
      </c>
      <c r="E180" s="2" t="s">
        <v>9</v>
      </c>
      <c r="F180" s="2">
        <v>9</v>
      </c>
      <c r="G180" s="2">
        <v>120</v>
      </c>
    </row>
    <row r="181" spans="1:7" x14ac:dyDescent="0.35">
      <c r="A181" s="2">
        <v>1180</v>
      </c>
      <c r="B181" s="3">
        <v>45984</v>
      </c>
      <c r="C181" s="2" t="s">
        <v>10</v>
      </c>
      <c r="D181" s="2" t="s">
        <v>8</v>
      </c>
      <c r="E181" s="2" t="s">
        <v>9</v>
      </c>
      <c r="F181" s="2">
        <v>2</v>
      </c>
      <c r="G181" s="2">
        <v>250</v>
      </c>
    </row>
    <row r="182" spans="1:7" x14ac:dyDescent="0.35">
      <c r="A182" s="2">
        <v>1181</v>
      </c>
      <c r="B182" s="3">
        <v>45987</v>
      </c>
      <c r="C182" s="2" t="s">
        <v>14</v>
      </c>
      <c r="D182" s="2" t="s">
        <v>8</v>
      </c>
      <c r="E182" s="2" t="s">
        <v>9</v>
      </c>
      <c r="F182" s="2">
        <v>3</v>
      </c>
      <c r="G182" s="2">
        <v>250</v>
      </c>
    </row>
    <row r="183" spans="1:7" x14ac:dyDescent="0.35">
      <c r="A183" s="2">
        <v>1182</v>
      </c>
      <c r="B183" s="3">
        <v>45988</v>
      </c>
      <c r="C183" s="2" t="s">
        <v>14</v>
      </c>
      <c r="D183" s="2" t="s">
        <v>15</v>
      </c>
      <c r="E183" s="2" t="s">
        <v>16</v>
      </c>
      <c r="F183" s="2">
        <v>3</v>
      </c>
      <c r="G183" s="2">
        <v>5200</v>
      </c>
    </row>
    <row r="184" spans="1:7" x14ac:dyDescent="0.35">
      <c r="A184" s="2">
        <v>1183</v>
      </c>
      <c r="B184" s="3">
        <v>45989</v>
      </c>
      <c r="C184" s="2" t="s">
        <v>10</v>
      </c>
      <c r="D184" s="2" t="s">
        <v>17</v>
      </c>
      <c r="E184" s="2" t="s">
        <v>18</v>
      </c>
      <c r="F184" s="2">
        <v>5</v>
      </c>
      <c r="G184" s="2">
        <v>1500</v>
      </c>
    </row>
    <row r="185" spans="1:7" x14ac:dyDescent="0.35">
      <c r="A185" s="2">
        <v>1184</v>
      </c>
      <c r="B185" s="3">
        <v>45994</v>
      </c>
      <c r="C185" s="2" t="s">
        <v>22</v>
      </c>
      <c r="D185" s="2" t="s">
        <v>8</v>
      </c>
      <c r="E185" s="2" t="s">
        <v>9</v>
      </c>
      <c r="F185" s="2">
        <v>3</v>
      </c>
      <c r="G185" s="2">
        <v>250</v>
      </c>
    </row>
    <row r="186" spans="1:7" x14ac:dyDescent="0.35">
      <c r="A186" s="2">
        <v>1185</v>
      </c>
      <c r="B186" s="3">
        <v>45994</v>
      </c>
      <c r="C186" s="2" t="s">
        <v>10</v>
      </c>
      <c r="D186" s="2" t="s">
        <v>17</v>
      </c>
      <c r="E186" s="2" t="s">
        <v>18</v>
      </c>
      <c r="F186" s="2">
        <v>9</v>
      </c>
      <c r="G186" s="2">
        <v>1500</v>
      </c>
    </row>
    <row r="187" spans="1:7" x14ac:dyDescent="0.35">
      <c r="A187" s="2">
        <v>1186</v>
      </c>
      <c r="B187" s="3">
        <v>45994</v>
      </c>
      <c r="C187" s="2" t="s">
        <v>10</v>
      </c>
      <c r="D187" s="2" t="s">
        <v>21</v>
      </c>
      <c r="E187" s="2" t="s">
        <v>9</v>
      </c>
      <c r="F187" s="2">
        <v>6</v>
      </c>
      <c r="G187" s="2">
        <v>120</v>
      </c>
    </row>
    <row r="188" spans="1:7" x14ac:dyDescent="0.35">
      <c r="A188" s="2">
        <v>1187</v>
      </c>
      <c r="B188" s="3">
        <v>45995</v>
      </c>
      <c r="C188" s="2" t="s">
        <v>10</v>
      </c>
      <c r="D188" s="2" t="s">
        <v>19</v>
      </c>
      <c r="E188" s="2" t="s">
        <v>16</v>
      </c>
      <c r="F188" s="2">
        <v>1</v>
      </c>
      <c r="G188" s="2">
        <v>6500</v>
      </c>
    </row>
    <row r="189" spans="1:7" x14ac:dyDescent="0.35">
      <c r="A189" s="2">
        <v>1188</v>
      </c>
      <c r="B189" s="3">
        <v>45995</v>
      </c>
      <c r="C189" s="2" t="s">
        <v>10</v>
      </c>
      <c r="D189" s="2" t="s">
        <v>11</v>
      </c>
      <c r="E189" s="2" t="s">
        <v>12</v>
      </c>
      <c r="F189" s="2">
        <v>3</v>
      </c>
      <c r="G189" s="2">
        <v>18000</v>
      </c>
    </row>
    <row r="190" spans="1:7" x14ac:dyDescent="0.35">
      <c r="A190" s="2">
        <v>1189</v>
      </c>
      <c r="B190" s="3">
        <v>46000</v>
      </c>
      <c r="C190" s="2" t="s">
        <v>10</v>
      </c>
      <c r="D190" s="2" t="s">
        <v>8</v>
      </c>
      <c r="E190" s="2" t="s">
        <v>9</v>
      </c>
      <c r="F190" s="2">
        <v>1</v>
      </c>
      <c r="G190" s="2">
        <v>250</v>
      </c>
    </row>
    <row r="191" spans="1:7" x14ac:dyDescent="0.35">
      <c r="A191" s="2">
        <v>1190</v>
      </c>
      <c r="B191" s="3">
        <v>46001</v>
      </c>
      <c r="C191" s="2" t="s">
        <v>7</v>
      </c>
      <c r="D191" s="2" t="s">
        <v>19</v>
      </c>
      <c r="E191" s="2" t="s">
        <v>16</v>
      </c>
      <c r="F191" s="2">
        <v>7</v>
      </c>
      <c r="G191" s="2">
        <v>6500</v>
      </c>
    </row>
    <row r="192" spans="1:7" x14ac:dyDescent="0.35">
      <c r="A192" s="2">
        <v>1191</v>
      </c>
      <c r="B192" s="3">
        <v>46003</v>
      </c>
      <c r="C192" s="2" t="s">
        <v>14</v>
      </c>
      <c r="D192" s="2" t="s">
        <v>17</v>
      </c>
      <c r="E192" s="2" t="s">
        <v>18</v>
      </c>
      <c r="F192" s="2">
        <v>5</v>
      </c>
      <c r="G192" s="2">
        <v>1500</v>
      </c>
    </row>
    <row r="193" spans="1:7" x14ac:dyDescent="0.35">
      <c r="A193" s="2">
        <v>1192</v>
      </c>
      <c r="B193" s="3">
        <v>46006</v>
      </c>
      <c r="C193" s="2" t="s">
        <v>14</v>
      </c>
      <c r="D193" s="2" t="s">
        <v>17</v>
      </c>
      <c r="E193" s="2" t="s">
        <v>18</v>
      </c>
      <c r="F193" s="2">
        <v>7</v>
      </c>
      <c r="G193" s="2">
        <v>1500</v>
      </c>
    </row>
    <row r="194" spans="1:7" x14ac:dyDescent="0.35">
      <c r="A194" s="2">
        <v>1193</v>
      </c>
      <c r="B194" s="3">
        <v>46007</v>
      </c>
      <c r="C194" s="2" t="s">
        <v>22</v>
      </c>
      <c r="D194" s="2" t="s">
        <v>21</v>
      </c>
      <c r="E194" s="2" t="s">
        <v>9</v>
      </c>
      <c r="F194" s="2">
        <v>4</v>
      </c>
      <c r="G194" s="2">
        <v>120</v>
      </c>
    </row>
    <row r="195" spans="1:7" x14ac:dyDescent="0.35">
      <c r="A195" s="2">
        <v>1194</v>
      </c>
      <c r="B195" s="3">
        <v>46012</v>
      </c>
      <c r="C195" s="2" t="s">
        <v>7</v>
      </c>
      <c r="D195" s="2" t="s">
        <v>13</v>
      </c>
      <c r="E195" s="2" t="s">
        <v>12</v>
      </c>
      <c r="F195" s="2">
        <v>9</v>
      </c>
      <c r="G195" s="2">
        <v>2000</v>
      </c>
    </row>
    <row r="196" spans="1:7" x14ac:dyDescent="0.35">
      <c r="A196" s="2">
        <v>1195</v>
      </c>
      <c r="B196" s="3">
        <v>46012</v>
      </c>
      <c r="C196" s="2" t="s">
        <v>10</v>
      </c>
      <c r="D196" s="2" t="s">
        <v>15</v>
      </c>
      <c r="E196" s="2" t="s">
        <v>16</v>
      </c>
      <c r="F196" s="2">
        <v>1</v>
      </c>
      <c r="G196" s="2">
        <v>5200</v>
      </c>
    </row>
    <row r="197" spans="1:7" x14ac:dyDescent="0.35">
      <c r="A197" s="2">
        <v>1196</v>
      </c>
      <c r="B197" s="3">
        <v>46014</v>
      </c>
      <c r="C197" s="2" t="s">
        <v>14</v>
      </c>
      <c r="D197" s="2" t="s">
        <v>11</v>
      </c>
      <c r="E197" s="2" t="s">
        <v>12</v>
      </c>
      <c r="F197" s="2">
        <v>1</v>
      </c>
      <c r="G197" s="2">
        <v>18000</v>
      </c>
    </row>
    <row r="198" spans="1:7" x14ac:dyDescent="0.35">
      <c r="A198" s="2">
        <v>1197</v>
      </c>
      <c r="B198" s="3">
        <v>46015</v>
      </c>
      <c r="C198" s="2" t="s">
        <v>14</v>
      </c>
      <c r="D198" s="2" t="s">
        <v>19</v>
      </c>
      <c r="E198" s="2" t="s">
        <v>16</v>
      </c>
      <c r="F198" s="2">
        <v>2</v>
      </c>
      <c r="G198" s="2">
        <v>6500</v>
      </c>
    </row>
    <row r="199" spans="1:7" x14ac:dyDescent="0.35">
      <c r="A199" s="2">
        <v>1198</v>
      </c>
      <c r="B199" s="3">
        <v>46015</v>
      </c>
      <c r="C199" s="2" t="s">
        <v>22</v>
      </c>
      <c r="D199" s="2" t="s">
        <v>15</v>
      </c>
      <c r="E199" s="2" t="s">
        <v>16</v>
      </c>
      <c r="F199" s="2">
        <v>9</v>
      </c>
      <c r="G199" s="2">
        <v>5200</v>
      </c>
    </row>
    <row r="200" spans="1:7" x14ac:dyDescent="0.35">
      <c r="A200" s="2">
        <v>1199</v>
      </c>
      <c r="B200" s="3">
        <v>46016</v>
      </c>
      <c r="C200" s="2" t="s">
        <v>14</v>
      </c>
      <c r="D200" s="2" t="s">
        <v>8</v>
      </c>
      <c r="E200" s="2" t="s">
        <v>9</v>
      </c>
      <c r="F200" s="2">
        <v>2</v>
      </c>
      <c r="G200" s="2">
        <v>250</v>
      </c>
    </row>
    <row r="201" spans="1:7" x14ac:dyDescent="0.35">
      <c r="A201" s="2">
        <v>1200</v>
      </c>
      <c r="B201" s="3">
        <v>46016</v>
      </c>
      <c r="C201" s="2" t="s">
        <v>7</v>
      </c>
      <c r="D201" s="2" t="s">
        <v>17</v>
      </c>
      <c r="E201" s="2" t="s">
        <v>18</v>
      </c>
      <c r="F201" s="2">
        <v>2</v>
      </c>
      <c r="G201" s="2">
        <v>1500</v>
      </c>
    </row>
    <row r="202" spans="1:7" x14ac:dyDescent="0.35">
      <c r="A202" s="2">
        <v>1011</v>
      </c>
      <c r="B202" s="3">
        <v>45667</v>
      </c>
      <c r="C202" s="2" t="s">
        <v>10</v>
      </c>
      <c r="D202" s="2" t="s">
        <v>19</v>
      </c>
      <c r="E202" s="2" t="s">
        <v>16</v>
      </c>
      <c r="F202" s="2">
        <v>9</v>
      </c>
      <c r="G202" s="2">
        <v>6500</v>
      </c>
    </row>
    <row r="203" spans="1:7" x14ac:dyDescent="0.35">
      <c r="A203" s="2">
        <v>1056</v>
      </c>
      <c r="B203" s="3">
        <v>45755</v>
      </c>
      <c r="C203" s="2" t="s">
        <v>7</v>
      </c>
      <c r="D203" s="2" t="s">
        <v>8</v>
      </c>
      <c r="E203" s="2" t="s">
        <v>9</v>
      </c>
      <c r="F203" s="2">
        <v>7</v>
      </c>
      <c r="G203" s="2">
        <v>250</v>
      </c>
    </row>
    <row r="204" spans="1:7" x14ac:dyDescent="0.35">
      <c r="A204" s="2">
        <v>1121</v>
      </c>
      <c r="B204" s="3">
        <v>45873</v>
      </c>
      <c r="C204" s="2" t="s">
        <v>7</v>
      </c>
      <c r="D204" s="2" t="s">
        <v>20</v>
      </c>
      <c r="E204" s="2" t="s">
        <v>12</v>
      </c>
      <c r="F204" s="2">
        <v>3</v>
      </c>
      <c r="G204" s="2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working data</vt:lpstr>
      <vt:lpstr>summary</vt:lpstr>
      <vt:lpstr>DASHBORD</vt:lpstr>
      <vt:lpstr>insights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nikitha srivasthav</cp:lastModifiedBy>
  <dcterms:created xsi:type="dcterms:W3CDTF">2026-10-03T12:47:46Z</dcterms:created>
  <dcterms:modified xsi:type="dcterms:W3CDTF">2026-10-05T03:56:22Z</dcterms:modified>
</cp:coreProperties>
</file>